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tme\Downloads\"/>
    </mc:Choice>
  </mc:AlternateContent>
  <xr:revisionPtr revIDLastSave="0" documentId="13_ncr:1_{E9318F0A-A027-4A1F-927F-3FDCADADCCD5}" xr6:coauthVersionLast="47" xr6:coauthVersionMax="47" xr10:uidLastSave="{00000000-0000-0000-0000-000000000000}"/>
  <bookViews>
    <workbookView xWindow="19090" yWindow="-110" windowWidth="38620" windowHeight="15500" tabRatio="776" firstSheet="3" activeTab="12" xr2:uid="{7D3FD702-6BAE-4509-A520-F68892A11C94}"/>
  </bookViews>
  <sheets>
    <sheet name="1 MNE Group Information" sheetId="2" r:id="rId1"/>
    <sheet name="2 Safe Harbours CH" sheetId="3" r:id="rId2"/>
    <sheet name="2 Safe Harbours DE" sheetId="4" r:id="rId3"/>
    <sheet name="2 Safe Harbours RU" sheetId="5" r:id="rId4"/>
    <sheet name="2 Safe Harbours DK" sheetId="6" r:id="rId5"/>
    <sheet name="2 Safe Harbours SE" sheetId="7" r:id="rId6"/>
    <sheet name="2 Safe Harbours FI" sheetId="11" r:id="rId7"/>
    <sheet name="3 GloBE Computations CH" sheetId="1" r:id="rId8"/>
    <sheet name="3 GloBE Computations DE" sheetId="16" r:id="rId9"/>
    <sheet name="3 GloBE Computations RU" sheetId="17" r:id="rId10"/>
    <sheet name="3 GloBE Computations DK" sheetId="18" r:id="rId11"/>
    <sheet name="3 GloBE Computations SE" sheetId="19" r:id="rId12"/>
    <sheet name="3 GloBE Computations FI" sheetId="20" r:id="rId13"/>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09" i="1" l="1"/>
  <c r="G309" i="1"/>
  <c r="H309" i="1"/>
  <c r="I309" i="1"/>
  <c r="J309" i="1"/>
  <c r="K309" i="1"/>
  <c r="L309" i="1"/>
  <c r="E232" i="20" l="1"/>
  <c r="E264" i="20" s="1"/>
  <c r="E274" i="20" s="1"/>
  <c r="E282" i="20" s="1"/>
  <c r="E291" i="20" s="1"/>
  <c r="E314" i="20" s="1"/>
  <c r="E324" i="20" s="1"/>
  <c r="M455" i="20"/>
  <c r="M454" i="20"/>
  <c r="L452" i="20"/>
  <c r="K452" i="20"/>
  <c r="J452" i="20"/>
  <c r="I452" i="20"/>
  <c r="H452" i="20"/>
  <c r="G452" i="20"/>
  <c r="F452" i="20"/>
  <c r="E452" i="20"/>
  <c r="L451" i="20"/>
  <c r="K451" i="20"/>
  <c r="J451" i="20"/>
  <c r="I451" i="20"/>
  <c r="H451" i="20"/>
  <c r="G451" i="20"/>
  <c r="F451" i="20"/>
  <c r="E451" i="20"/>
  <c r="M446" i="20"/>
  <c r="M445" i="20"/>
  <c r="M443" i="20"/>
  <c r="E434" i="20" s="1"/>
  <c r="M442" i="20"/>
  <c r="E431" i="20" s="1"/>
  <c r="E437" i="20" s="1"/>
  <c r="E423" i="20"/>
  <c r="E401" i="20"/>
  <c r="E403" i="20" s="1"/>
  <c r="M397" i="20"/>
  <c r="M395" i="20"/>
  <c r="M394" i="20"/>
  <c r="L392" i="20"/>
  <c r="K392" i="20"/>
  <c r="J392" i="20"/>
  <c r="I392" i="20"/>
  <c r="H392" i="20"/>
  <c r="G392" i="20"/>
  <c r="F392" i="20"/>
  <c r="E392" i="20"/>
  <c r="M392" i="20" s="1"/>
  <c r="M391" i="20"/>
  <c r="M390" i="20"/>
  <c r="L387" i="20"/>
  <c r="K387" i="20"/>
  <c r="J387" i="20"/>
  <c r="I387" i="20"/>
  <c r="H387" i="20"/>
  <c r="G387" i="20"/>
  <c r="F387" i="20"/>
  <c r="E387" i="20"/>
  <c r="M387" i="20" s="1"/>
  <c r="M386" i="20"/>
  <c r="M385" i="20"/>
  <c r="L346" i="20"/>
  <c r="K346" i="20"/>
  <c r="J346" i="20"/>
  <c r="M345" i="20"/>
  <c r="M344" i="20"/>
  <c r="F121" i="20" s="1"/>
  <c r="L343" i="20"/>
  <c r="K343" i="20"/>
  <c r="J343" i="20"/>
  <c r="I343" i="20"/>
  <c r="I346" i="20" s="1"/>
  <c r="H343" i="20"/>
  <c r="H346" i="20" s="1"/>
  <c r="G343" i="20"/>
  <c r="G346" i="20" s="1"/>
  <c r="F343" i="20"/>
  <c r="F346" i="20" s="1"/>
  <c r="E343" i="20"/>
  <c r="E346" i="20" s="1"/>
  <c r="M342" i="20"/>
  <c r="M341" i="20"/>
  <c r="M340" i="20"/>
  <c r="M339" i="20"/>
  <c r="M338" i="20"/>
  <c r="M337" i="20"/>
  <c r="M336" i="20"/>
  <c r="E137" i="20" s="1"/>
  <c r="M335" i="20"/>
  <c r="E136" i="20" s="1"/>
  <c r="M334" i="20"/>
  <c r="M333" i="20"/>
  <c r="M332" i="20"/>
  <c r="M331" i="20"/>
  <c r="M330" i="20"/>
  <c r="M329" i="20"/>
  <c r="M328" i="20"/>
  <c r="E129" i="20" s="1"/>
  <c r="M327" i="20"/>
  <c r="E128" i="20" s="1"/>
  <c r="M325" i="20"/>
  <c r="F115" i="20" s="1"/>
  <c r="F118" i="20" s="1"/>
  <c r="L321" i="20"/>
  <c r="K321" i="20"/>
  <c r="J321" i="20"/>
  <c r="J292" i="20" s="1"/>
  <c r="J311" i="20" s="1"/>
  <c r="I321" i="20"/>
  <c r="I292" i="20" s="1"/>
  <c r="I311" i="20" s="1"/>
  <c r="H321" i="20"/>
  <c r="H292" i="20" s="1"/>
  <c r="H311" i="20" s="1"/>
  <c r="G321" i="20"/>
  <c r="F321" i="20"/>
  <c r="F292" i="20" s="1"/>
  <c r="F311" i="20" s="1"/>
  <c r="E321" i="20"/>
  <c r="M320" i="20"/>
  <c r="M319" i="20"/>
  <c r="M315" i="20"/>
  <c r="M321" i="20" s="1"/>
  <c r="M310" i="20"/>
  <c r="M309" i="20"/>
  <c r="M308" i="20"/>
  <c r="E90" i="20" s="1"/>
  <c r="M307" i="20"/>
  <c r="M306" i="20"/>
  <c r="M305" i="20"/>
  <c r="M304" i="20"/>
  <c r="E86" i="20" s="1"/>
  <c r="M303" i="20"/>
  <c r="E85" i="20" s="1"/>
  <c r="M302" i="20"/>
  <c r="M301" i="20"/>
  <c r="M300" i="20"/>
  <c r="E82" i="20" s="1"/>
  <c r="M299" i="20"/>
  <c r="M298" i="20"/>
  <c r="M297" i="20"/>
  <c r="M296" i="20"/>
  <c r="E78" i="20" s="1"/>
  <c r="E22" i="20" s="1"/>
  <c r="M295" i="20"/>
  <c r="E77" i="20" s="1"/>
  <c r="M294" i="20"/>
  <c r="L292" i="20"/>
  <c r="L311" i="20" s="1"/>
  <c r="K292" i="20"/>
  <c r="K311" i="20" s="1"/>
  <c r="G292" i="20"/>
  <c r="G311" i="20" s="1"/>
  <c r="E292" i="20"/>
  <c r="E311" i="20" s="1"/>
  <c r="M286" i="20"/>
  <c r="M283" i="20"/>
  <c r="M282" i="20"/>
  <c r="M291" i="20" s="1"/>
  <c r="M314" i="20" s="1"/>
  <c r="M324" i="20" s="1"/>
  <c r="M382" i="20" s="1"/>
  <c r="K282" i="20"/>
  <c r="K291" i="20" s="1"/>
  <c r="K314" i="20" s="1"/>
  <c r="K324" i="20" s="1"/>
  <c r="M279" i="20"/>
  <c r="M278" i="20"/>
  <c r="M277" i="20"/>
  <c r="M276" i="20"/>
  <c r="M275" i="20"/>
  <c r="M274" i="20"/>
  <c r="K274" i="20"/>
  <c r="J274" i="20"/>
  <c r="J282" i="20" s="1"/>
  <c r="J291" i="20" s="1"/>
  <c r="J314" i="20" s="1"/>
  <c r="J324" i="20" s="1"/>
  <c r="I274" i="20"/>
  <c r="I282" i="20" s="1"/>
  <c r="I291" i="20" s="1"/>
  <c r="I314" i="20" s="1"/>
  <c r="I324" i="20" s="1"/>
  <c r="L271" i="20"/>
  <c r="K271" i="20"/>
  <c r="J271" i="20"/>
  <c r="I271" i="20"/>
  <c r="H271" i="20"/>
  <c r="G271" i="20"/>
  <c r="F271" i="20"/>
  <c r="E271" i="20"/>
  <c r="M270" i="20"/>
  <c r="M269" i="20"/>
  <c r="M265" i="20"/>
  <c r="M271" i="20" s="1"/>
  <c r="M264" i="20"/>
  <c r="L264" i="20"/>
  <c r="L274" i="20" s="1"/>
  <c r="L282" i="20" s="1"/>
  <c r="L291" i="20" s="1"/>
  <c r="L314" i="20" s="1"/>
  <c r="L324" i="20" s="1"/>
  <c r="K264" i="20"/>
  <c r="J264" i="20"/>
  <c r="I264" i="20"/>
  <c r="H264" i="20"/>
  <c r="H274" i="20" s="1"/>
  <c r="H282" i="20" s="1"/>
  <c r="H291" i="20" s="1"/>
  <c r="H314" i="20" s="1"/>
  <c r="H324" i="20" s="1"/>
  <c r="G264" i="20"/>
  <c r="G274" i="20" s="1"/>
  <c r="G282" i="20" s="1"/>
  <c r="G291" i="20" s="1"/>
  <c r="G314" i="20" s="1"/>
  <c r="G324" i="20" s="1"/>
  <c r="F264" i="20"/>
  <c r="F274" i="20" s="1"/>
  <c r="F282" i="20" s="1"/>
  <c r="F291" i="20" s="1"/>
  <c r="F314" i="20" s="1"/>
  <c r="F324" i="20" s="1"/>
  <c r="I261" i="20"/>
  <c r="H261" i="20"/>
  <c r="G261" i="20"/>
  <c r="M260" i="20"/>
  <c r="M259" i="20"/>
  <c r="M258" i="20"/>
  <c r="M257" i="20"/>
  <c r="E64" i="20" s="1"/>
  <c r="M256" i="20"/>
  <c r="E63" i="20" s="1"/>
  <c r="M255" i="20"/>
  <c r="E62" i="20" s="1"/>
  <c r="M254" i="20"/>
  <c r="M253" i="20"/>
  <c r="E60" i="20" s="1"/>
  <c r="M252" i="20"/>
  <c r="M251" i="20"/>
  <c r="M250" i="20"/>
  <c r="M249" i="20"/>
  <c r="E56" i="20" s="1"/>
  <c r="M248" i="20"/>
  <c r="E55" i="20" s="1"/>
  <c r="E25" i="20" s="1"/>
  <c r="M247" i="20"/>
  <c r="E54" i="20" s="1"/>
  <c r="M246" i="20"/>
  <c r="M245" i="20"/>
  <c r="E52" i="20" s="1"/>
  <c r="M244" i="20"/>
  <c r="M243" i="20"/>
  <c r="M242" i="20"/>
  <c r="M241" i="20"/>
  <c r="E48" i="20" s="1"/>
  <c r="M240" i="20"/>
  <c r="E47" i="20" s="1"/>
  <c r="M239" i="20"/>
  <c r="E46" i="20" s="1"/>
  <c r="M238" i="20"/>
  <c r="M237" i="20"/>
  <c r="E44" i="20" s="1"/>
  <c r="M236" i="20"/>
  <c r="M235" i="20"/>
  <c r="E42" i="20" s="1"/>
  <c r="E34" i="20" s="1"/>
  <c r="L233" i="20"/>
  <c r="L261" i="20" s="1"/>
  <c r="K233" i="20"/>
  <c r="K261" i="20" s="1"/>
  <c r="J233" i="20"/>
  <c r="J261" i="20" s="1"/>
  <c r="I233" i="20"/>
  <c r="H233" i="20"/>
  <c r="G233" i="20"/>
  <c r="F233" i="20"/>
  <c r="F261" i="20" s="1"/>
  <c r="E233" i="20"/>
  <c r="E261" i="20" s="1"/>
  <c r="E204" i="20"/>
  <c r="F151" i="20"/>
  <c r="E151" i="20"/>
  <c r="E143" i="20"/>
  <c r="E142" i="20"/>
  <c r="E141" i="20"/>
  <c r="E140" i="20"/>
  <c r="E139" i="20"/>
  <c r="E138" i="20"/>
  <c r="E135" i="20"/>
  <c r="E134" i="20"/>
  <c r="E133" i="20"/>
  <c r="E132" i="20"/>
  <c r="E131" i="20"/>
  <c r="E130" i="20"/>
  <c r="F122" i="20"/>
  <c r="F109" i="20"/>
  <c r="E102" i="20"/>
  <c r="E94" i="20"/>
  <c r="E93" i="20"/>
  <c r="E26" i="20" s="1"/>
  <c r="E92" i="20"/>
  <c r="E91" i="20"/>
  <c r="E89" i="20"/>
  <c r="E88" i="20"/>
  <c r="E87" i="20"/>
  <c r="E84" i="20"/>
  <c r="E83" i="20"/>
  <c r="E81" i="20"/>
  <c r="E80" i="20"/>
  <c r="E79" i="20"/>
  <c r="E75" i="20"/>
  <c r="E67" i="20"/>
  <c r="E66" i="20"/>
  <c r="E65" i="20"/>
  <c r="E61" i="20"/>
  <c r="E59" i="20"/>
  <c r="E58" i="20"/>
  <c r="E57" i="20"/>
  <c r="E53" i="20"/>
  <c r="E51" i="20"/>
  <c r="E50" i="20"/>
  <c r="E49" i="20"/>
  <c r="E45" i="20"/>
  <c r="E43" i="20"/>
  <c r="E23" i="20"/>
  <c r="E18" i="20"/>
  <c r="E232" i="19"/>
  <c r="M455" i="19"/>
  <c r="M454" i="19"/>
  <c r="L452" i="19"/>
  <c r="K452" i="19"/>
  <c r="J452" i="19"/>
  <c r="I452" i="19"/>
  <c r="H452" i="19"/>
  <c r="G452" i="19"/>
  <c r="F452" i="19"/>
  <c r="E452" i="19"/>
  <c r="L451" i="19"/>
  <c r="K451" i="19"/>
  <c r="J451" i="19"/>
  <c r="I451" i="19"/>
  <c r="H451" i="19"/>
  <c r="G451" i="19"/>
  <c r="F451" i="19"/>
  <c r="E451" i="19"/>
  <c r="M446" i="19"/>
  <c r="M445" i="19"/>
  <c r="M443" i="19"/>
  <c r="E434" i="19" s="1"/>
  <c r="M442" i="19"/>
  <c r="E431" i="19" s="1"/>
  <c r="E423" i="19"/>
  <c r="E401" i="19"/>
  <c r="E403" i="19" s="1"/>
  <c r="M397" i="19"/>
  <c r="M395" i="19"/>
  <c r="M394" i="19"/>
  <c r="L392" i="19"/>
  <c r="K392" i="19"/>
  <c r="J392" i="19"/>
  <c r="I392" i="19"/>
  <c r="H392" i="19"/>
  <c r="G392" i="19"/>
  <c r="F392" i="19"/>
  <c r="E392" i="19"/>
  <c r="M392" i="19" s="1"/>
  <c r="M391" i="19"/>
  <c r="M390" i="19"/>
  <c r="L387" i="19"/>
  <c r="K387" i="19"/>
  <c r="J387" i="19"/>
  <c r="I387" i="19"/>
  <c r="H387" i="19"/>
  <c r="G387" i="19"/>
  <c r="F387" i="19"/>
  <c r="E387" i="19"/>
  <c r="M387" i="19" s="1"/>
  <c r="M386" i="19"/>
  <c r="M385" i="19"/>
  <c r="L346" i="19"/>
  <c r="K346" i="19"/>
  <c r="J346" i="19"/>
  <c r="M345" i="19"/>
  <c r="M344" i="19"/>
  <c r="F121" i="19" s="1"/>
  <c r="L343" i="19"/>
  <c r="K343" i="19"/>
  <c r="J343" i="19"/>
  <c r="I343" i="19"/>
  <c r="I346" i="19" s="1"/>
  <c r="H343" i="19"/>
  <c r="H346" i="19" s="1"/>
  <c r="G343" i="19"/>
  <c r="G346" i="19" s="1"/>
  <c r="F343" i="19"/>
  <c r="F346" i="19" s="1"/>
  <c r="E343" i="19"/>
  <c r="E346" i="19" s="1"/>
  <c r="M342" i="19"/>
  <c r="M341" i="19"/>
  <c r="M340" i="19"/>
  <c r="E141" i="19" s="1"/>
  <c r="M339" i="19"/>
  <c r="M338" i="19"/>
  <c r="M337" i="19"/>
  <c r="M336" i="19"/>
  <c r="E137" i="19" s="1"/>
  <c r="M335" i="19"/>
  <c r="E136" i="19" s="1"/>
  <c r="M334" i="19"/>
  <c r="M333" i="19"/>
  <c r="M332" i="19"/>
  <c r="E133" i="19" s="1"/>
  <c r="M331" i="19"/>
  <c r="M330" i="19"/>
  <c r="M329" i="19"/>
  <c r="M328" i="19"/>
  <c r="E129" i="19" s="1"/>
  <c r="M327" i="19"/>
  <c r="E128" i="19" s="1"/>
  <c r="M325" i="19"/>
  <c r="F115" i="19" s="1"/>
  <c r="F118" i="19" s="1"/>
  <c r="L321" i="19"/>
  <c r="L292" i="19" s="1"/>
  <c r="L311" i="19" s="1"/>
  <c r="K321" i="19"/>
  <c r="J321" i="19"/>
  <c r="J292" i="19" s="1"/>
  <c r="J311" i="19" s="1"/>
  <c r="I321" i="19"/>
  <c r="I292" i="19" s="1"/>
  <c r="I311" i="19" s="1"/>
  <c r="H321" i="19"/>
  <c r="H292" i="19" s="1"/>
  <c r="H311" i="19" s="1"/>
  <c r="G321" i="19"/>
  <c r="F321" i="19"/>
  <c r="E321" i="19"/>
  <c r="E292" i="19" s="1"/>
  <c r="M320" i="19"/>
  <c r="M319" i="19"/>
  <c r="M315" i="19"/>
  <c r="M321" i="19" s="1"/>
  <c r="F311" i="19"/>
  <c r="M310" i="19"/>
  <c r="M309" i="19"/>
  <c r="M308" i="19"/>
  <c r="E90" i="19" s="1"/>
  <c r="M307" i="19"/>
  <c r="E89" i="19" s="1"/>
  <c r="M306" i="19"/>
  <c r="M305" i="19"/>
  <c r="M304" i="19"/>
  <c r="E86" i="19" s="1"/>
  <c r="M303" i="19"/>
  <c r="E85" i="19" s="1"/>
  <c r="M302" i="19"/>
  <c r="M301" i="19"/>
  <c r="M300" i="19"/>
  <c r="E82" i="19" s="1"/>
  <c r="M299" i="19"/>
  <c r="E81" i="19" s="1"/>
  <c r="E23" i="19" s="1"/>
  <c r="M298" i="19"/>
  <c r="M297" i="19"/>
  <c r="M296" i="19"/>
  <c r="E78" i="19" s="1"/>
  <c r="E22" i="19" s="1"/>
  <c r="M295" i="19"/>
  <c r="E77" i="19" s="1"/>
  <c r="M294" i="19"/>
  <c r="K292" i="19"/>
  <c r="K311" i="19" s="1"/>
  <c r="G292" i="19"/>
  <c r="G311" i="19" s="1"/>
  <c r="F292" i="19"/>
  <c r="M286" i="19"/>
  <c r="M283" i="19"/>
  <c r="K282" i="19"/>
  <c r="K291" i="19" s="1"/>
  <c r="K314" i="19" s="1"/>
  <c r="K324" i="19" s="1"/>
  <c r="M279" i="19"/>
  <c r="M278" i="19"/>
  <c r="M277" i="19"/>
  <c r="M276" i="19"/>
  <c r="M275" i="19"/>
  <c r="M274" i="19"/>
  <c r="M282" i="19" s="1"/>
  <c r="M291" i="19" s="1"/>
  <c r="M314" i="19" s="1"/>
  <c r="M324" i="19" s="1"/>
  <c r="M382" i="19" s="1"/>
  <c r="K274" i="19"/>
  <c r="J274" i="19"/>
  <c r="J282" i="19" s="1"/>
  <c r="J291" i="19" s="1"/>
  <c r="J314" i="19" s="1"/>
  <c r="J324" i="19" s="1"/>
  <c r="I274" i="19"/>
  <c r="I282" i="19" s="1"/>
  <c r="I291" i="19" s="1"/>
  <c r="I314" i="19" s="1"/>
  <c r="I324" i="19" s="1"/>
  <c r="L271" i="19"/>
  <c r="K271" i="19"/>
  <c r="J271" i="19"/>
  <c r="I271" i="19"/>
  <c r="H271" i="19"/>
  <c r="G271" i="19"/>
  <c r="F271" i="19"/>
  <c r="E271" i="19"/>
  <c r="E233" i="19" s="1"/>
  <c r="E261" i="19" s="1"/>
  <c r="M270" i="19"/>
  <c r="M269" i="19"/>
  <c r="M265" i="19"/>
  <c r="M271" i="19" s="1"/>
  <c r="M264" i="19"/>
  <c r="L264" i="19"/>
  <c r="L274" i="19" s="1"/>
  <c r="L282" i="19" s="1"/>
  <c r="L291" i="19" s="1"/>
  <c r="L314" i="19" s="1"/>
  <c r="L324" i="19" s="1"/>
  <c r="K264" i="19"/>
  <c r="J264" i="19"/>
  <c r="I264" i="19"/>
  <c r="H264" i="19"/>
  <c r="H274" i="19" s="1"/>
  <c r="H282" i="19" s="1"/>
  <c r="H291" i="19" s="1"/>
  <c r="H314" i="19" s="1"/>
  <c r="H324" i="19" s="1"/>
  <c r="G264" i="19"/>
  <c r="G274" i="19" s="1"/>
  <c r="G282" i="19" s="1"/>
  <c r="G291" i="19" s="1"/>
  <c r="G314" i="19" s="1"/>
  <c r="G324" i="19" s="1"/>
  <c r="F264" i="19"/>
  <c r="F274" i="19" s="1"/>
  <c r="F282" i="19" s="1"/>
  <c r="F291" i="19" s="1"/>
  <c r="F314" i="19" s="1"/>
  <c r="F324" i="19" s="1"/>
  <c r="I261" i="19"/>
  <c r="H261" i="19"/>
  <c r="G261" i="19"/>
  <c r="M260" i="19"/>
  <c r="E67" i="19" s="1"/>
  <c r="M259" i="19"/>
  <c r="E66" i="19" s="1"/>
  <c r="M258" i="19"/>
  <c r="M257" i="19"/>
  <c r="E64" i="19" s="1"/>
  <c r="M256" i="19"/>
  <c r="E63" i="19" s="1"/>
  <c r="M255" i="19"/>
  <c r="E62" i="19" s="1"/>
  <c r="M254" i="19"/>
  <c r="M253" i="19"/>
  <c r="M252" i="19"/>
  <c r="E59" i="19" s="1"/>
  <c r="M251" i="19"/>
  <c r="E58" i="19" s="1"/>
  <c r="M250" i="19"/>
  <c r="M249" i="19"/>
  <c r="E56" i="19" s="1"/>
  <c r="M248" i="19"/>
  <c r="E55" i="19" s="1"/>
  <c r="E25" i="19" s="1"/>
  <c r="M247" i="19"/>
  <c r="E54" i="19" s="1"/>
  <c r="M246" i="19"/>
  <c r="M245" i="19"/>
  <c r="M244" i="19"/>
  <c r="E51" i="19" s="1"/>
  <c r="M243" i="19"/>
  <c r="E50" i="19" s="1"/>
  <c r="M242" i="19"/>
  <c r="M241" i="19"/>
  <c r="E48" i="19" s="1"/>
  <c r="M240" i="19"/>
  <c r="E47" i="19" s="1"/>
  <c r="M239" i="19"/>
  <c r="E46" i="19" s="1"/>
  <c r="M238" i="19"/>
  <c r="M237" i="19"/>
  <c r="M236" i="19"/>
  <c r="E43" i="19" s="1"/>
  <c r="M235" i="19"/>
  <c r="E42" i="19" s="1"/>
  <c r="E34" i="19" s="1"/>
  <c r="L233" i="19"/>
  <c r="L261" i="19" s="1"/>
  <c r="K233" i="19"/>
  <c r="K261" i="19" s="1"/>
  <c r="J233" i="19"/>
  <c r="J261" i="19" s="1"/>
  <c r="I233" i="19"/>
  <c r="H233" i="19"/>
  <c r="G233" i="19"/>
  <c r="F233" i="19"/>
  <c r="F261" i="19" s="1"/>
  <c r="E264" i="19"/>
  <c r="E274" i="19" s="1"/>
  <c r="E282" i="19" s="1"/>
  <c r="E291" i="19" s="1"/>
  <c r="E314" i="19" s="1"/>
  <c r="E324" i="19" s="1"/>
  <c r="E204" i="19"/>
  <c r="F151" i="19"/>
  <c r="E151" i="19"/>
  <c r="E143" i="19"/>
  <c r="E142" i="19"/>
  <c r="E140" i="19"/>
  <c r="E139" i="19"/>
  <c r="E138" i="19"/>
  <c r="E135" i="19"/>
  <c r="E134" i="19"/>
  <c r="E132" i="19"/>
  <c r="E131" i="19"/>
  <c r="E130" i="19"/>
  <c r="F122" i="19"/>
  <c r="F109" i="19"/>
  <c r="E102" i="19"/>
  <c r="E94" i="19"/>
  <c r="E93" i="19"/>
  <c r="E26" i="19" s="1"/>
  <c r="E92" i="19"/>
  <c r="E91" i="19"/>
  <c r="E88" i="19"/>
  <c r="E87" i="19"/>
  <c r="E84" i="19"/>
  <c r="E83" i="19"/>
  <c r="E80" i="19"/>
  <c r="E79" i="19"/>
  <c r="E75" i="19"/>
  <c r="E65" i="19"/>
  <c r="E61" i="19"/>
  <c r="E60" i="19"/>
  <c r="E57" i="19"/>
  <c r="E53" i="19"/>
  <c r="E52" i="19"/>
  <c r="E49" i="19"/>
  <c r="E45" i="19"/>
  <c r="E44" i="19"/>
  <c r="E18" i="19"/>
  <c r="E232" i="18"/>
  <c r="E264" i="18" s="1"/>
  <c r="E274" i="18" s="1"/>
  <c r="E282" i="18" s="1"/>
  <c r="E291" i="18" s="1"/>
  <c r="E314" i="18" s="1"/>
  <c r="E324" i="18" s="1"/>
  <c r="M455" i="18"/>
  <c r="M454" i="18"/>
  <c r="L452" i="18"/>
  <c r="K452" i="18"/>
  <c r="J452" i="18"/>
  <c r="I452" i="18"/>
  <c r="H452" i="18"/>
  <c r="G452" i="18"/>
  <c r="F452" i="18"/>
  <c r="E452" i="18"/>
  <c r="L451" i="18"/>
  <c r="K451" i="18"/>
  <c r="J451" i="18"/>
  <c r="I451" i="18"/>
  <c r="H451" i="18"/>
  <c r="G451" i="18"/>
  <c r="F451" i="18"/>
  <c r="E451" i="18"/>
  <c r="M446" i="18"/>
  <c r="M445" i="18"/>
  <c r="M443" i="18"/>
  <c r="E434" i="18" s="1"/>
  <c r="M442" i="18"/>
  <c r="E423" i="18"/>
  <c r="E401" i="18"/>
  <c r="E403" i="18" s="1"/>
  <c r="M397" i="18"/>
  <c r="M395" i="18"/>
  <c r="M394" i="18"/>
  <c r="L392" i="18"/>
  <c r="K392" i="18"/>
  <c r="J392" i="18"/>
  <c r="I392" i="18"/>
  <c r="H392" i="18"/>
  <c r="G392" i="18"/>
  <c r="F392" i="18"/>
  <c r="E392" i="18"/>
  <c r="M391" i="18"/>
  <c r="M390" i="18"/>
  <c r="L387" i="18"/>
  <c r="K387" i="18"/>
  <c r="J387" i="18"/>
  <c r="I387" i="18"/>
  <c r="H387" i="18"/>
  <c r="G387" i="18"/>
  <c r="F387" i="18"/>
  <c r="E387" i="18"/>
  <c r="M386" i="18"/>
  <c r="M385" i="18"/>
  <c r="L346" i="18"/>
  <c r="K346" i="18"/>
  <c r="J346" i="18"/>
  <c r="M345" i="18"/>
  <c r="F122" i="18" s="1"/>
  <c r="M344" i="18"/>
  <c r="F121" i="18" s="1"/>
  <c r="L343" i="18"/>
  <c r="K343" i="18"/>
  <c r="J343" i="18"/>
  <c r="I343" i="18"/>
  <c r="I346" i="18" s="1"/>
  <c r="H343" i="18"/>
  <c r="H346" i="18" s="1"/>
  <c r="G343" i="18"/>
  <c r="G346" i="18" s="1"/>
  <c r="F343" i="18"/>
  <c r="F346" i="18" s="1"/>
  <c r="E343" i="18"/>
  <c r="E346" i="18" s="1"/>
  <c r="M342" i="18"/>
  <c r="M341" i="18"/>
  <c r="E142" i="18" s="1"/>
  <c r="M340" i="18"/>
  <c r="E141" i="18" s="1"/>
  <c r="M339" i="18"/>
  <c r="M338" i="18"/>
  <c r="M337" i="18"/>
  <c r="M336" i="18"/>
  <c r="E137" i="18" s="1"/>
  <c r="M335" i="18"/>
  <c r="E136" i="18" s="1"/>
  <c r="M334" i="18"/>
  <c r="M333" i="18"/>
  <c r="E134" i="18" s="1"/>
  <c r="M332" i="18"/>
  <c r="E133" i="18" s="1"/>
  <c r="M331" i="18"/>
  <c r="M330" i="18"/>
  <c r="M329" i="18"/>
  <c r="M328" i="18"/>
  <c r="E129" i="18" s="1"/>
  <c r="M327" i="18"/>
  <c r="E128" i="18" s="1"/>
  <c r="M325" i="18"/>
  <c r="L321" i="18"/>
  <c r="K321" i="18"/>
  <c r="K292" i="18" s="1"/>
  <c r="K311" i="18" s="1"/>
  <c r="J321" i="18"/>
  <c r="J292" i="18" s="1"/>
  <c r="J311" i="18" s="1"/>
  <c r="I321" i="18"/>
  <c r="I292" i="18" s="1"/>
  <c r="I311" i="18" s="1"/>
  <c r="H321" i="18"/>
  <c r="G321" i="18"/>
  <c r="F321" i="18"/>
  <c r="F292" i="18" s="1"/>
  <c r="F311" i="18" s="1"/>
  <c r="E321" i="18"/>
  <c r="E292" i="18" s="1"/>
  <c r="E311" i="18" s="1"/>
  <c r="M320" i="18"/>
  <c r="M319" i="18"/>
  <c r="M315" i="18"/>
  <c r="M321" i="18" s="1"/>
  <c r="M310" i="18"/>
  <c r="M309" i="18"/>
  <c r="M308" i="18"/>
  <c r="E90" i="18" s="1"/>
  <c r="M307" i="18"/>
  <c r="M306" i="18"/>
  <c r="M305" i="18"/>
  <c r="E87" i="18" s="1"/>
  <c r="M304" i="18"/>
  <c r="E86" i="18" s="1"/>
  <c r="M303" i="18"/>
  <c r="E85" i="18" s="1"/>
  <c r="M302" i="18"/>
  <c r="M301" i="18"/>
  <c r="M300" i="18"/>
  <c r="E82" i="18" s="1"/>
  <c r="M299" i="18"/>
  <c r="M298" i="18"/>
  <c r="M297" i="18"/>
  <c r="E79" i="18" s="1"/>
  <c r="M296" i="18"/>
  <c r="E78" i="18" s="1"/>
  <c r="E22" i="18" s="1"/>
  <c r="M295" i="18"/>
  <c r="E77" i="18" s="1"/>
  <c r="M294" i="18"/>
  <c r="L292" i="18"/>
  <c r="L311" i="18" s="1"/>
  <c r="H292" i="18"/>
  <c r="H311" i="18" s="1"/>
  <c r="G292" i="18"/>
  <c r="G311" i="18" s="1"/>
  <c r="H291" i="18"/>
  <c r="H314" i="18" s="1"/>
  <c r="H324" i="18" s="1"/>
  <c r="M286" i="18"/>
  <c r="M283" i="18"/>
  <c r="L282" i="18"/>
  <c r="L291" i="18" s="1"/>
  <c r="L314" i="18" s="1"/>
  <c r="L324" i="18" s="1"/>
  <c r="K282" i="18"/>
  <c r="K291" i="18" s="1"/>
  <c r="K314" i="18" s="1"/>
  <c r="K324" i="18" s="1"/>
  <c r="M279" i="18"/>
  <c r="M278" i="18"/>
  <c r="M277" i="18"/>
  <c r="M276" i="18"/>
  <c r="M275" i="18"/>
  <c r="L274" i="18"/>
  <c r="K274" i="18"/>
  <c r="J274" i="18"/>
  <c r="J282" i="18" s="1"/>
  <c r="J291" i="18" s="1"/>
  <c r="J314" i="18" s="1"/>
  <c r="J324" i="18" s="1"/>
  <c r="I274" i="18"/>
  <c r="I282" i="18" s="1"/>
  <c r="I291" i="18" s="1"/>
  <c r="I314" i="18" s="1"/>
  <c r="I324" i="18" s="1"/>
  <c r="L271" i="18"/>
  <c r="K271" i="18"/>
  <c r="J271" i="18"/>
  <c r="J233" i="18" s="1"/>
  <c r="J261" i="18" s="1"/>
  <c r="I271" i="18"/>
  <c r="H271" i="18"/>
  <c r="G271" i="18"/>
  <c r="F271" i="18"/>
  <c r="E271" i="18"/>
  <c r="M270" i="18"/>
  <c r="M269" i="18"/>
  <c r="M265" i="18"/>
  <c r="M271" i="18" s="1"/>
  <c r="M264" i="18"/>
  <c r="M274" i="18" s="1"/>
  <c r="M282" i="18" s="1"/>
  <c r="M291" i="18" s="1"/>
  <c r="M314" i="18" s="1"/>
  <c r="M324" i="18" s="1"/>
  <c r="M382" i="18" s="1"/>
  <c r="L264" i="18"/>
  <c r="K264" i="18"/>
  <c r="J264" i="18"/>
  <c r="I264" i="18"/>
  <c r="H264" i="18"/>
  <c r="H274" i="18" s="1"/>
  <c r="H282" i="18" s="1"/>
  <c r="G264" i="18"/>
  <c r="G274" i="18" s="1"/>
  <c r="G282" i="18" s="1"/>
  <c r="G291" i="18" s="1"/>
  <c r="G314" i="18" s="1"/>
  <c r="G324" i="18" s="1"/>
  <c r="F264" i="18"/>
  <c r="F274" i="18" s="1"/>
  <c r="F282" i="18" s="1"/>
  <c r="F291" i="18" s="1"/>
  <c r="F314" i="18" s="1"/>
  <c r="F324" i="18" s="1"/>
  <c r="I261" i="18"/>
  <c r="H261" i="18"/>
  <c r="G261" i="18"/>
  <c r="F261" i="18"/>
  <c r="M260" i="18"/>
  <c r="E67" i="18" s="1"/>
  <c r="M259" i="18"/>
  <c r="M258" i="18"/>
  <c r="E65" i="18" s="1"/>
  <c r="M257" i="18"/>
  <c r="E64" i="18" s="1"/>
  <c r="M256" i="18"/>
  <c r="E63" i="18" s="1"/>
  <c r="M255" i="18"/>
  <c r="E62" i="18" s="1"/>
  <c r="M254" i="18"/>
  <c r="M253" i="18"/>
  <c r="E60" i="18" s="1"/>
  <c r="M252" i="18"/>
  <c r="E59" i="18" s="1"/>
  <c r="M251" i="18"/>
  <c r="M250" i="18"/>
  <c r="E57" i="18" s="1"/>
  <c r="M249" i="18"/>
  <c r="E56" i="18" s="1"/>
  <c r="M248" i="18"/>
  <c r="E55" i="18" s="1"/>
  <c r="E25" i="18" s="1"/>
  <c r="M247" i="18"/>
  <c r="M246" i="18"/>
  <c r="M245" i="18"/>
  <c r="E52" i="18" s="1"/>
  <c r="M244" i="18"/>
  <c r="E51" i="18" s="1"/>
  <c r="M243" i="18"/>
  <c r="M242" i="18"/>
  <c r="E49" i="18" s="1"/>
  <c r="M241" i="18"/>
  <c r="E48" i="18" s="1"/>
  <c r="M240" i="18"/>
  <c r="E47" i="18" s="1"/>
  <c r="M239" i="18"/>
  <c r="M238" i="18"/>
  <c r="M237" i="18"/>
  <c r="E44" i="18" s="1"/>
  <c r="M236" i="18"/>
  <c r="E43" i="18" s="1"/>
  <c r="M235" i="18"/>
  <c r="L233" i="18"/>
  <c r="L261" i="18" s="1"/>
  <c r="K233" i="18"/>
  <c r="K261" i="18" s="1"/>
  <c r="I233" i="18"/>
  <c r="H233" i="18"/>
  <c r="G233" i="18"/>
  <c r="F233" i="18"/>
  <c r="E233" i="18"/>
  <c r="E261" i="18" s="1"/>
  <c r="E204" i="18"/>
  <c r="F151" i="18"/>
  <c r="E151" i="18"/>
  <c r="E143" i="18"/>
  <c r="E140" i="18"/>
  <c r="E139" i="18"/>
  <c r="E138" i="18"/>
  <c r="E135" i="18"/>
  <c r="E132" i="18"/>
  <c r="E131" i="18"/>
  <c r="E130" i="18"/>
  <c r="F115" i="18"/>
  <c r="F118" i="18" s="1"/>
  <c r="F109" i="18"/>
  <c r="E102" i="18"/>
  <c r="E94" i="18"/>
  <c r="E93" i="18"/>
  <c r="E26" i="18" s="1"/>
  <c r="E92" i="18"/>
  <c r="E91" i="18"/>
  <c r="E89" i="18"/>
  <c r="E88" i="18"/>
  <c r="E84" i="18"/>
  <c r="E83" i="18"/>
  <c r="E81" i="18"/>
  <c r="E80" i="18"/>
  <c r="E75" i="18"/>
  <c r="E66" i="18"/>
  <c r="E61" i="18"/>
  <c r="E58" i="18"/>
  <c r="E54" i="18"/>
  <c r="E53" i="18"/>
  <c r="E50" i="18"/>
  <c r="E46" i="18"/>
  <c r="E45" i="18"/>
  <c r="E42" i="18"/>
  <c r="E34" i="18"/>
  <c r="E23" i="18"/>
  <c r="E18" i="18"/>
  <c r="E232" i="17"/>
  <c r="E264" i="17" s="1"/>
  <c r="E274" i="17" s="1"/>
  <c r="E282" i="17" s="1"/>
  <c r="E291" i="17" s="1"/>
  <c r="E314" i="17" s="1"/>
  <c r="E324" i="17" s="1"/>
  <c r="M455" i="17"/>
  <c r="M454" i="17"/>
  <c r="L452" i="17"/>
  <c r="K452" i="17"/>
  <c r="J452" i="17"/>
  <c r="I452" i="17"/>
  <c r="H452" i="17"/>
  <c r="G452" i="17"/>
  <c r="F452" i="17"/>
  <c r="E452" i="17"/>
  <c r="L451" i="17"/>
  <c r="K451" i="17"/>
  <c r="J451" i="17"/>
  <c r="I451" i="17"/>
  <c r="H451" i="17"/>
  <c r="G451" i="17"/>
  <c r="F451" i="17"/>
  <c r="E451" i="17"/>
  <c r="M446" i="17"/>
  <c r="M445" i="17"/>
  <c r="M443" i="17"/>
  <c r="E434" i="17" s="1"/>
  <c r="M442" i="17"/>
  <c r="E431" i="17" s="1"/>
  <c r="E423" i="17"/>
  <c r="E401" i="17"/>
  <c r="E403" i="17" s="1"/>
  <c r="M397" i="17"/>
  <c r="M395" i="17"/>
  <c r="M394" i="17"/>
  <c r="L392" i="17"/>
  <c r="K392" i="17"/>
  <c r="J392" i="17"/>
  <c r="I392" i="17"/>
  <c r="H392" i="17"/>
  <c r="G392" i="17"/>
  <c r="F392" i="17"/>
  <c r="E392" i="17"/>
  <c r="M392" i="17" s="1"/>
  <c r="M391" i="17"/>
  <c r="M390" i="17"/>
  <c r="L387" i="17"/>
  <c r="K387" i="17"/>
  <c r="J387" i="17"/>
  <c r="I387" i="17"/>
  <c r="H387" i="17"/>
  <c r="G387" i="17"/>
  <c r="F387" i="17"/>
  <c r="E387" i="17"/>
  <c r="M387" i="17" s="1"/>
  <c r="M386" i="17"/>
  <c r="M385" i="17"/>
  <c r="L346" i="17"/>
  <c r="K346" i="17"/>
  <c r="J346" i="17"/>
  <c r="M345" i="17"/>
  <c r="F122" i="17" s="1"/>
  <c r="M344" i="17"/>
  <c r="F121" i="17" s="1"/>
  <c r="L343" i="17"/>
  <c r="K343" i="17"/>
  <c r="J343" i="17"/>
  <c r="I343" i="17"/>
  <c r="I346" i="17" s="1"/>
  <c r="H343" i="17"/>
  <c r="H346" i="17" s="1"/>
  <c r="G343" i="17"/>
  <c r="G346" i="17" s="1"/>
  <c r="F343" i="17"/>
  <c r="F346" i="17" s="1"/>
  <c r="E343" i="17"/>
  <c r="E346" i="17" s="1"/>
  <c r="M342" i="17"/>
  <c r="M341" i="17"/>
  <c r="M340" i="17"/>
  <c r="M339" i="17"/>
  <c r="M338" i="17"/>
  <c r="M337" i="17"/>
  <c r="E138" i="17" s="1"/>
  <c r="M336" i="17"/>
  <c r="E137" i="17" s="1"/>
  <c r="M335" i="17"/>
  <c r="E136" i="17" s="1"/>
  <c r="M334" i="17"/>
  <c r="M333" i="17"/>
  <c r="M332" i="17"/>
  <c r="M331" i="17"/>
  <c r="M330" i="17"/>
  <c r="M329" i="17"/>
  <c r="E130" i="17" s="1"/>
  <c r="M328" i="17"/>
  <c r="E129" i="17" s="1"/>
  <c r="M327" i="17"/>
  <c r="E128" i="17" s="1"/>
  <c r="E144" i="17" s="1"/>
  <c r="F119" i="17" s="1"/>
  <c r="M325" i="17"/>
  <c r="F115" i="17" s="1"/>
  <c r="F118" i="17" s="1"/>
  <c r="L321" i="17"/>
  <c r="K321" i="17"/>
  <c r="K292" i="17" s="1"/>
  <c r="K311" i="17" s="1"/>
  <c r="J321" i="17"/>
  <c r="J292" i="17" s="1"/>
  <c r="J311" i="17" s="1"/>
  <c r="I321" i="17"/>
  <c r="I292" i="17" s="1"/>
  <c r="I311" i="17" s="1"/>
  <c r="H321" i="17"/>
  <c r="H292" i="17" s="1"/>
  <c r="H311" i="17" s="1"/>
  <c r="G321" i="17"/>
  <c r="F321" i="17"/>
  <c r="E321" i="17"/>
  <c r="E292" i="17" s="1"/>
  <c r="M320" i="17"/>
  <c r="M319" i="17"/>
  <c r="M315" i="17"/>
  <c r="M321" i="17" s="1"/>
  <c r="F311" i="17"/>
  <c r="M310" i="17"/>
  <c r="M309" i="17"/>
  <c r="M308" i="17"/>
  <c r="E90" i="17" s="1"/>
  <c r="M307" i="17"/>
  <c r="M306" i="17"/>
  <c r="E88" i="17" s="1"/>
  <c r="M305" i="17"/>
  <c r="E87" i="17" s="1"/>
  <c r="M304" i="17"/>
  <c r="E86" i="17" s="1"/>
  <c r="M303" i="17"/>
  <c r="E85" i="17" s="1"/>
  <c r="M302" i="17"/>
  <c r="M301" i="17"/>
  <c r="M300" i="17"/>
  <c r="E82" i="17" s="1"/>
  <c r="M299" i="17"/>
  <c r="M298" i="17"/>
  <c r="E80" i="17" s="1"/>
  <c r="M297" i="17"/>
  <c r="E79" i="17" s="1"/>
  <c r="M296" i="17"/>
  <c r="E78" i="17" s="1"/>
  <c r="E22" i="17" s="1"/>
  <c r="M295" i="17"/>
  <c r="E77" i="17" s="1"/>
  <c r="M294" i="17"/>
  <c r="L292" i="17"/>
  <c r="L311" i="17" s="1"/>
  <c r="G292" i="17"/>
  <c r="G311" i="17" s="1"/>
  <c r="F292" i="17"/>
  <c r="M286" i="17"/>
  <c r="M283" i="17"/>
  <c r="L282" i="17"/>
  <c r="L291" i="17" s="1"/>
  <c r="L314" i="17" s="1"/>
  <c r="L324" i="17" s="1"/>
  <c r="K282" i="17"/>
  <c r="K291" i="17" s="1"/>
  <c r="K314" i="17" s="1"/>
  <c r="K324" i="17" s="1"/>
  <c r="M279" i="17"/>
  <c r="M278" i="17"/>
  <c r="M277" i="17"/>
  <c r="M276" i="17"/>
  <c r="M275" i="17"/>
  <c r="L274" i="17"/>
  <c r="K274" i="17"/>
  <c r="J274" i="17"/>
  <c r="J282" i="17" s="1"/>
  <c r="J291" i="17" s="1"/>
  <c r="J314" i="17" s="1"/>
  <c r="J324" i="17" s="1"/>
  <c r="I274" i="17"/>
  <c r="I282" i="17" s="1"/>
  <c r="I291" i="17" s="1"/>
  <c r="I314" i="17" s="1"/>
  <c r="I324" i="17" s="1"/>
  <c r="L271" i="17"/>
  <c r="K271" i="17"/>
  <c r="J271" i="17"/>
  <c r="I271" i="17"/>
  <c r="H271" i="17"/>
  <c r="G271" i="17"/>
  <c r="F271" i="17"/>
  <c r="E271" i="17"/>
  <c r="M270" i="17"/>
  <c r="M269" i="17"/>
  <c r="M265" i="17"/>
  <c r="M271" i="17" s="1"/>
  <c r="M264" i="17"/>
  <c r="M274" i="17" s="1"/>
  <c r="M282" i="17" s="1"/>
  <c r="M291" i="17" s="1"/>
  <c r="M314" i="17" s="1"/>
  <c r="M324" i="17" s="1"/>
  <c r="M382" i="17" s="1"/>
  <c r="L264" i="17"/>
  <c r="K264" i="17"/>
  <c r="J264" i="17"/>
  <c r="I264" i="17"/>
  <c r="H264" i="17"/>
  <c r="H274" i="17" s="1"/>
  <c r="H282" i="17" s="1"/>
  <c r="H291" i="17" s="1"/>
  <c r="H314" i="17" s="1"/>
  <c r="H324" i="17" s="1"/>
  <c r="G264" i="17"/>
  <c r="G274" i="17" s="1"/>
  <c r="G282" i="17" s="1"/>
  <c r="G291" i="17" s="1"/>
  <c r="G314" i="17" s="1"/>
  <c r="G324" i="17" s="1"/>
  <c r="F264" i="17"/>
  <c r="F274" i="17" s="1"/>
  <c r="F282" i="17" s="1"/>
  <c r="F291" i="17" s="1"/>
  <c r="F314" i="17" s="1"/>
  <c r="F324" i="17" s="1"/>
  <c r="I261" i="17"/>
  <c r="H261" i="17"/>
  <c r="G261" i="17"/>
  <c r="M260" i="17"/>
  <c r="M259" i="17"/>
  <c r="M258" i="17"/>
  <c r="M257" i="17"/>
  <c r="M256" i="17"/>
  <c r="M255" i="17"/>
  <c r="M254" i="17"/>
  <c r="M253" i="17"/>
  <c r="M252" i="17"/>
  <c r="M251" i="17"/>
  <c r="M250" i="17"/>
  <c r="M249" i="17"/>
  <c r="M248" i="17"/>
  <c r="M247" i="17"/>
  <c r="M246" i="17"/>
  <c r="M245" i="17"/>
  <c r="M244" i="17"/>
  <c r="M243" i="17"/>
  <c r="M242" i="17"/>
  <c r="M241" i="17"/>
  <c r="M240" i="17"/>
  <c r="M239" i="17"/>
  <c r="M238" i="17"/>
  <c r="M237" i="17"/>
  <c r="M236" i="17"/>
  <c r="M235" i="17"/>
  <c r="E42" i="17" s="1"/>
  <c r="E34" i="17" s="1"/>
  <c r="L233" i="17"/>
  <c r="L261" i="17" s="1"/>
  <c r="K233" i="17"/>
  <c r="K261" i="17" s="1"/>
  <c r="J233" i="17"/>
  <c r="J261" i="17" s="1"/>
  <c r="I233" i="17"/>
  <c r="H233" i="17"/>
  <c r="G233" i="17"/>
  <c r="F233" i="17"/>
  <c r="F261" i="17" s="1"/>
  <c r="E233" i="17"/>
  <c r="E261" i="17" s="1"/>
  <c r="E204" i="17"/>
  <c r="F151" i="17"/>
  <c r="E151" i="17"/>
  <c r="E143" i="17"/>
  <c r="E142" i="17"/>
  <c r="E141" i="17"/>
  <c r="E140" i="17"/>
  <c r="E139" i="17"/>
  <c r="E135" i="17"/>
  <c r="E134" i="17"/>
  <c r="E133" i="17"/>
  <c r="E132" i="17"/>
  <c r="E131" i="17"/>
  <c r="F109" i="17"/>
  <c r="E102" i="17"/>
  <c r="E94" i="17"/>
  <c r="E93" i="17"/>
  <c r="E26" i="17" s="1"/>
  <c r="E92" i="17"/>
  <c r="E91" i="17"/>
  <c r="E89" i="17"/>
  <c r="E84" i="17"/>
  <c r="E83" i="17"/>
  <c r="E81" i="17"/>
  <c r="E75" i="17"/>
  <c r="E67" i="17"/>
  <c r="E66" i="17"/>
  <c r="E65" i="17"/>
  <c r="E64" i="17"/>
  <c r="E63" i="17"/>
  <c r="E62" i="17"/>
  <c r="E61" i="17"/>
  <c r="E60" i="17"/>
  <c r="E59" i="17"/>
  <c r="E58" i="17"/>
  <c r="E57" i="17"/>
  <c r="E56" i="17"/>
  <c r="E55" i="17"/>
  <c r="E25" i="17" s="1"/>
  <c r="E54" i="17"/>
  <c r="E53" i="17"/>
  <c r="E52" i="17"/>
  <c r="E51" i="17"/>
  <c r="E50" i="17"/>
  <c r="E49" i="17"/>
  <c r="E48" i="17"/>
  <c r="E47" i="17"/>
  <c r="E46" i="17"/>
  <c r="E45" i="17"/>
  <c r="E44" i="17"/>
  <c r="E43" i="17"/>
  <c r="E23" i="17"/>
  <c r="E18" i="17"/>
  <c r="F232" i="16"/>
  <c r="F264" i="16" s="1"/>
  <c r="F274" i="16" s="1"/>
  <c r="F282" i="16" s="1"/>
  <c r="F291" i="16" s="1"/>
  <c r="F314" i="16" s="1"/>
  <c r="F324" i="16" s="1"/>
  <c r="E232" i="16"/>
  <c r="E264" i="16" s="1"/>
  <c r="E274" i="16" s="1"/>
  <c r="E282" i="16" s="1"/>
  <c r="E291" i="16" s="1"/>
  <c r="E314" i="16" s="1"/>
  <c r="E324" i="16" s="1"/>
  <c r="M455" i="16"/>
  <c r="M454" i="16"/>
  <c r="L452" i="16"/>
  <c r="K452" i="16"/>
  <c r="J452" i="16"/>
  <c r="I452" i="16"/>
  <c r="H452" i="16"/>
  <c r="G452" i="16"/>
  <c r="F452" i="16"/>
  <c r="E452" i="16"/>
  <c r="L451" i="16"/>
  <c r="K451" i="16"/>
  <c r="J451" i="16"/>
  <c r="I451" i="16"/>
  <c r="H451" i="16"/>
  <c r="G451" i="16"/>
  <c r="F451" i="16"/>
  <c r="E451" i="16"/>
  <c r="M446" i="16"/>
  <c r="M445" i="16"/>
  <c r="M443" i="16"/>
  <c r="E434" i="16" s="1"/>
  <c r="M442" i="16"/>
  <c r="E431" i="16" s="1"/>
  <c r="E423" i="16"/>
  <c r="E401" i="16"/>
  <c r="E403" i="16" s="1"/>
  <c r="M397" i="16"/>
  <c r="M395" i="16"/>
  <c r="M394" i="16"/>
  <c r="L392" i="16"/>
  <c r="K392" i="16"/>
  <c r="J392" i="16"/>
  <c r="I392" i="16"/>
  <c r="H392" i="16"/>
  <c r="G392" i="16"/>
  <c r="F392" i="16"/>
  <c r="E392" i="16"/>
  <c r="M392" i="16" s="1"/>
  <c r="M391" i="16"/>
  <c r="M390" i="16"/>
  <c r="L387" i="16"/>
  <c r="K387" i="16"/>
  <c r="J387" i="16"/>
  <c r="I387" i="16"/>
  <c r="H387" i="16"/>
  <c r="G387" i="16"/>
  <c r="F387" i="16"/>
  <c r="E387" i="16"/>
  <c r="M387" i="16" s="1"/>
  <c r="M386" i="16"/>
  <c r="M385" i="16"/>
  <c r="L346" i="16"/>
  <c r="K346" i="16"/>
  <c r="J346" i="16"/>
  <c r="H346" i="16"/>
  <c r="G346" i="16"/>
  <c r="M345" i="16"/>
  <c r="F122" i="16" s="1"/>
  <c r="M344" i="16"/>
  <c r="F121" i="16" s="1"/>
  <c r="L343" i="16"/>
  <c r="K343" i="16"/>
  <c r="J343" i="16"/>
  <c r="I343" i="16"/>
  <c r="I346" i="16" s="1"/>
  <c r="H343" i="16"/>
  <c r="G343" i="16"/>
  <c r="F343" i="16"/>
  <c r="F346" i="16" s="1"/>
  <c r="E343" i="16"/>
  <c r="E346" i="16" s="1"/>
  <c r="M342" i="16"/>
  <c r="M341" i="16"/>
  <c r="E142" i="16" s="1"/>
  <c r="M340" i="16"/>
  <c r="E141" i="16" s="1"/>
  <c r="M339" i="16"/>
  <c r="M338" i="16"/>
  <c r="M337" i="16"/>
  <c r="M336" i="16"/>
  <c r="E137" i="16" s="1"/>
  <c r="M335" i="16"/>
  <c r="E136" i="16" s="1"/>
  <c r="M334" i="16"/>
  <c r="M333" i="16"/>
  <c r="E134" i="16" s="1"/>
  <c r="M332" i="16"/>
  <c r="E133" i="16" s="1"/>
  <c r="M331" i="16"/>
  <c r="M330" i="16"/>
  <c r="M329" i="16"/>
  <c r="M328" i="16"/>
  <c r="E129" i="16" s="1"/>
  <c r="M327" i="16"/>
  <c r="E128" i="16" s="1"/>
  <c r="E144" i="16" s="1"/>
  <c r="F119" i="16" s="1"/>
  <c r="M325" i="16"/>
  <c r="F115" i="16" s="1"/>
  <c r="F118" i="16" s="1"/>
  <c r="L321" i="16"/>
  <c r="K321" i="16"/>
  <c r="K292" i="16" s="1"/>
  <c r="K311" i="16" s="1"/>
  <c r="J321" i="16"/>
  <c r="I321" i="16"/>
  <c r="I292" i="16" s="1"/>
  <c r="I311" i="16" s="1"/>
  <c r="H321" i="16"/>
  <c r="H292" i="16" s="1"/>
  <c r="H311" i="16" s="1"/>
  <c r="G321" i="16"/>
  <c r="F321" i="16"/>
  <c r="F292" i="16" s="1"/>
  <c r="F311" i="16" s="1"/>
  <c r="E321" i="16"/>
  <c r="E292" i="16" s="1"/>
  <c r="M320" i="16"/>
  <c r="M319" i="16"/>
  <c r="M315" i="16"/>
  <c r="M321" i="16" s="1"/>
  <c r="J311" i="16"/>
  <c r="M310" i="16"/>
  <c r="M309" i="16"/>
  <c r="M308" i="16"/>
  <c r="E90" i="16" s="1"/>
  <c r="M307" i="16"/>
  <c r="M306" i="16"/>
  <c r="M305" i="16"/>
  <c r="E87" i="16" s="1"/>
  <c r="M304" i="16"/>
  <c r="E86" i="16" s="1"/>
  <c r="M303" i="16"/>
  <c r="E85" i="16" s="1"/>
  <c r="M302" i="16"/>
  <c r="M301" i="16"/>
  <c r="M300" i="16"/>
  <c r="E82" i="16" s="1"/>
  <c r="M299" i="16"/>
  <c r="M298" i="16"/>
  <c r="M297" i="16"/>
  <c r="E79" i="16" s="1"/>
  <c r="M296" i="16"/>
  <c r="E78" i="16" s="1"/>
  <c r="E22" i="16" s="1"/>
  <c r="M295" i="16"/>
  <c r="E77" i="16" s="1"/>
  <c r="M294" i="16"/>
  <c r="L292" i="16"/>
  <c r="L311" i="16" s="1"/>
  <c r="J292" i="16"/>
  <c r="G292" i="16"/>
  <c r="G311" i="16" s="1"/>
  <c r="M286" i="16"/>
  <c r="M283" i="16"/>
  <c r="M278" i="16"/>
  <c r="M277" i="16"/>
  <c r="M276" i="16"/>
  <c r="M275" i="16"/>
  <c r="M279" i="16" s="1"/>
  <c r="J274" i="16"/>
  <c r="J282" i="16" s="1"/>
  <c r="J291" i="16" s="1"/>
  <c r="J314" i="16" s="1"/>
  <c r="J324" i="16" s="1"/>
  <c r="I274" i="16"/>
  <c r="I282" i="16" s="1"/>
  <c r="I291" i="16" s="1"/>
  <c r="I314" i="16" s="1"/>
  <c r="I324" i="16" s="1"/>
  <c r="L271" i="16"/>
  <c r="K271" i="16"/>
  <c r="J271" i="16"/>
  <c r="I271" i="16"/>
  <c r="H271" i="16"/>
  <c r="G271" i="16"/>
  <c r="F271" i="16"/>
  <c r="F233" i="16" s="1"/>
  <c r="F261" i="16" s="1"/>
  <c r="E271" i="16"/>
  <c r="M270" i="16"/>
  <c r="M269" i="16"/>
  <c r="M265" i="16"/>
  <c r="M271" i="16" s="1"/>
  <c r="M264" i="16"/>
  <c r="M274" i="16" s="1"/>
  <c r="M282" i="16" s="1"/>
  <c r="M291" i="16" s="1"/>
  <c r="M314" i="16" s="1"/>
  <c r="M324" i="16" s="1"/>
  <c r="M382" i="16" s="1"/>
  <c r="L264" i="16"/>
  <c r="L274" i="16" s="1"/>
  <c r="L282" i="16" s="1"/>
  <c r="L291" i="16" s="1"/>
  <c r="L314" i="16" s="1"/>
  <c r="L324" i="16" s="1"/>
  <c r="K264" i="16"/>
  <c r="K274" i="16" s="1"/>
  <c r="K282" i="16" s="1"/>
  <c r="K291" i="16" s="1"/>
  <c r="K314" i="16" s="1"/>
  <c r="K324" i="16" s="1"/>
  <c r="J264" i="16"/>
  <c r="I264" i="16"/>
  <c r="H264" i="16"/>
  <c r="H274" i="16" s="1"/>
  <c r="H282" i="16" s="1"/>
  <c r="H291" i="16" s="1"/>
  <c r="H314" i="16" s="1"/>
  <c r="H324" i="16" s="1"/>
  <c r="G264" i="16"/>
  <c r="G274" i="16" s="1"/>
  <c r="G282" i="16" s="1"/>
  <c r="G291" i="16" s="1"/>
  <c r="G314" i="16" s="1"/>
  <c r="G324" i="16" s="1"/>
  <c r="L261" i="16"/>
  <c r="I261" i="16"/>
  <c r="H261" i="16"/>
  <c r="G261" i="16"/>
  <c r="E261" i="16"/>
  <c r="M260" i="16"/>
  <c r="E67" i="16" s="1"/>
  <c r="M259" i="16"/>
  <c r="M258" i="16"/>
  <c r="E65" i="16" s="1"/>
  <c r="M257" i="16"/>
  <c r="M256" i="16"/>
  <c r="E63" i="16" s="1"/>
  <c r="M255" i="16"/>
  <c r="E62" i="16" s="1"/>
  <c r="M254" i="16"/>
  <c r="M253" i="16"/>
  <c r="E60" i="16" s="1"/>
  <c r="M252" i="16"/>
  <c r="E59" i="16" s="1"/>
  <c r="M251" i="16"/>
  <c r="M250" i="16"/>
  <c r="E57" i="16" s="1"/>
  <c r="M249" i="16"/>
  <c r="M248" i="16"/>
  <c r="E55" i="16" s="1"/>
  <c r="E25" i="16" s="1"/>
  <c r="M247" i="16"/>
  <c r="E54" i="16" s="1"/>
  <c r="M246" i="16"/>
  <c r="M245" i="16"/>
  <c r="E52" i="16" s="1"/>
  <c r="M244" i="16"/>
  <c r="E51" i="16" s="1"/>
  <c r="M243" i="16"/>
  <c r="M242" i="16"/>
  <c r="E49" i="16" s="1"/>
  <c r="M241" i="16"/>
  <c r="M240" i="16"/>
  <c r="E47" i="16" s="1"/>
  <c r="M239" i="16"/>
  <c r="E46" i="16" s="1"/>
  <c r="M238" i="16"/>
  <c r="M237" i="16"/>
  <c r="E44" i="16" s="1"/>
  <c r="M236" i="16"/>
  <c r="E43" i="16" s="1"/>
  <c r="M235" i="16"/>
  <c r="E42" i="16" s="1"/>
  <c r="E34" i="16" s="1"/>
  <c r="L233" i="16"/>
  <c r="K233" i="16"/>
  <c r="K261" i="16" s="1"/>
  <c r="J233" i="16"/>
  <c r="J261" i="16" s="1"/>
  <c r="I233" i="16"/>
  <c r="H233" i="16"/>
  <c r="G233" i="16"/>
  <c r="E233" i="16"/>
  <c r="E204" i="16"/>
  <c r="F151" i="16"/>
  <c r="E151" i="16"/>
  <c r="E143" i="16"/>
  <c r="E140" i="16"/>
  <c r="E139" i="16"/>
  <c r="E138" i="16"/>
  <c r="E135" i="16"/>
  <c r="E132" i="16"/>
  <c r="E131" i="16"/>
  <c r="E130" i="16"/>
  <c r="F109" i="16"/>
  <c r="E102" i="16"/>
  <c r="E93" i="16" s="1"/>
  <c r="E26" i="16" s="1"/>
  <c r="E94" i="16"/>
  <c r="E92" i="16"/>
  <c r="E91" i="16"/>
  <c r="E89" i="16"/>
  <c r="E88" i="16"/>
  <c r="E84" i="16"/>
  <c r="E83" i="16"/>
  <c r="E81" i="16"/>
  <c r="E23" i="16" s="1"/>
  <c r="E80" i="16"/>
  <c r="E75" i="16"/>
  <c r="E66" i="16"/>
  <c r="E64" i="16"/>
  <c r="E61" i="16"/>
  <c r="E58" i="16"/>
  <c r="E56" i="16"/>
  <c r="E53" i="16"/>
  <c r="E50" i="16"/>
  <c r="E48" i="16"/>
  <c r="E45" i="16"/>
  <c r="E18" i="16"/>
  <c r="F120" i="17" l="1"/>
  <c r="F123" i="17" s="1"/>
  <c r="E24" i="17" s="1"/>
  <c r="F120" i="16"/>
  <c r="F123" i="16" s="1"/>
  <c r="E24" i="16" s="1"/>
  <c r="M233" i="16"/>
  <c r="E437" i="17"/>
  <c r="E17" i="17" s="1"/>
  <c r="M452" i="16"/>
  <c r="L382" i="20"/>
  <c r="L414" i="20" s="1"/>
  <c r="L441" i="20" s="1"/>
  <c r="L450" i="20" s="1"/>
  <c r="L349" i="20"/>
  <c r="F382" i="20"/>
  <c r="F414" i="20" s="1"/>
  <c r="F441" i="20" s="1"/>
  <c r="F450" i="20" s="1"/>
  <c r="F349" i="20"/>
  <c r="M292" i="20"/>
  <c r="E421" i="20"/>
  <c r="E17" i="20"/>
  <c r="G382" i="20"/>
  <c r="G414" i="20" s="1"/>
  <c r="G441" i="20" s="1"/>
  <c r="G450" i="20" s="1"/>
  <c r="G349" i="20"/>
  <c r="E382" i="20"/>
  <c r="E414" i="20" s="1"/>
  <c r="E441" i="20" s="1"/>
  <c r="E450" i="20" s="1"/>
  <c r="E349" i="20"/>
  <c r="H382" i="20"/>
  <c r="H414" i="20" s="1"/>
  <c r="H441" i="20" s="1"/>
  <c r="H450" i="20" s="1"/>
  <c r="H349" i="20"/>
  <c r="E144" i="20"/>
  <c r="F119" i="20" s="1"/>
  <c r="F120" i="20" s="1"/>
  <c r="F123" i="20" s="1"/>
  <c r="E24" i="20" s="1"/>
  <c r="I349" i="20"/>
  <c r="I382" i="20"/>
  <c r="I414" i="20" s="1"/>
  <c r="I441" i="20" s="1"/>
  <c r="I450" i="20" s="1"/>
  <c r="J382" i="20"/>
  <c r="J414" i="20" s="1"/>
  <c r="J441" i="20" s="1"/>
  <c r="J450" i="20" s="1"/>
  <c r="J349" i="20"/>
  <c r="K382" i="20"/>
  <c r="K414" i="20" s="1"/>
  <c r="K441" i="20" s="1"/>
  <c r="K450" i="20" s="1"/>
  <c r="K349" i="20"/>
  <c r="M233" i="20"/>
  <c r="M343" i="20"/>
  <c r="M346" i="20" s="1"/>
  <c r="M451" i="20"/>
  <c r="M452" i="20"/>
  <c r="K382" i="19"/>
  <c r="K414" i="19" s="1"/>
  <c r="K441" i="19" s="1"/>
  <c r="K450" i="19" s="1"/>
  <c r="K349" i="19"/>
  <c r="L382" i="19"/>
  <c r="L414" i="19" s="1"/>
  <c r="L441" i="19" s="1"/>
  <c r="L450" i="19" s="1"/>
  <c r="L349" i="19"/>
  <c r="E437" i="19"/>
  <c r="F349" i="19"/>
  <c r="F382" i="19"/>
  <c r="F414" i="19" s="1"/>
  <c r="F441" i="19" s="1"/>
  <c r="F450" i="19" s="1"/>
  <c r="E144" i="19"/>
  <c r="F119" i="19" s="1"/>
  <c r="F120" i="19" s="1"/>
  <c r="F123" i="19" s="1"/>
  <c r="E24" i="19" s="1"/>
  <c r="M292" i="19"/>
  <c r="E311" i="19"/>
  <c r="E382" i="19"/>
  <c r="E414" i="19" s="1"/>
  <c r="E441" i="19" s="1"/>
  <c r="E450" i="19" s="1"/>
  <c r="E349" i="19"/>
  <c r="H382" i="19"/>
  <c r="H414" i="19" s="1"/>
  <c r="H441" i="19" s="1"/>
  <c r="H450" i="19" s="1"/>
  <c r="H349" i="19"/>
  <c r="J349" i="19"/>
  <c r="J382" i="19"/>
  <c r="J414" i="19" s="1"/>
  <c r="J441" i="19" s="1"/>
  <c r="J450" i="19" s="1"/>
  <c r="G382" i="19"/>
  <c r="G414" i="19" s="1"/>
  <c r="G441" i="19" s="1"/>
  <c r="G450" i="19" s="1"/>
  <c r="G349" i="19"/>
  <c r="I382" i="19"/>
  <c r="I414" i="19" s="1"/>
  <c r="I441" i="19" s="1"/>
  <c r="I450" i="19" s="1"/>
  <c r="I349" i="19"/>
  <c r="M343" i="19"/>
  <c r="M346" i="19" s="1"/>
  <c r="M233" i="19"/>
  <c r="M451" i="19"/>
  <c r="M452" i="19"/>
  <c r="H382" i="18"/>
  <c r="H414" i="18" s="1"/>
  <c r="H441" i="18" s="1"/>
  <c r="H450" i="18" s="1"/>
  <c r="H349" i="18"/>
  <c r="G382" i="18"/>
  <c r="G414" i="18" s="1"/>
  <c r="G441" i="18" s="1"/>
  <c r="G450" i="18" s="1"/>
  <c r="G349" i="18"/>
  <c r="E382" i="18"/>
  <c r="E414" i="18" s="1"/>
  <c r="E441" i="18" s="1"/>
  <c r="E450" i="18" s="1"/>
  <c r="E349" i="18"/>
  <c r="I349" i="18"/>
  <c r="I382" i="18"/>
  <c r="I414" i="18" s="1"/>
  <c r="I441" i="18" s="1"/>
  <c r="I450" i="18" s="1"/>
  <c r="L382" i="18"/>
  <c r="L414" i="18" s="1"/>
  <c r="L441" i="18" s="1"/>
  <c r="L450" i="18" s="1"/>
  <c r="L349" i="18"/>
  <c r="M392" i="18"/>
  <c r="E431" i="18"/>
  <c r="E437" i="18" s="1"/>
  <c r="M451" i="18"/>
  <c r="M292" i="18"/>
  <c r="F382" i="18"/>
  <c r="F414" i="18" s="1"/>
  <c r="F441" i="18" s="1"/>
  <c r="F450" i="18" s="1"/>
  <c r="F349" i="18"/>
  <c r="E144" i="18"/>
  <c r="F119" i="18" s="1"/>
  <c r="F120" i="18" s="1"/>
  <c r="F123" i="18" s="1"/>
  <c r="E24" i="18" s="1"/>
  <c r="M343" i="18"/>
  <c r="M346" i="18" s="1"/>
  <c r="J382" i="18"/>
  <c r="J414" i="18" s="1"/>
  <c r="J441" i="18" s="1"/>
  <c r="J450" i="18" s="1"/>
  <c r="J349" i="18"/>
  <c r="K382" i="18"/>
  <c r="K414" i="18" s="1"/>
  <c r="K441" i="18" s="1"/>
  <c r="K450" i="18" s="1"/>
  <c r="K349" i="18"/>
  <c r="M387" i="18"/>
  <c r="M233" i="18"/>
  <c r="M452" i="18"/>
  <c r="L382" i="17"/>
  <c r="L414" i="17" s="1"/>
  <c r="L441" i="17" s="1"/>
  <c r="L450" i="17" s="1"/>
  <c r="L349" i="17"/>
  <c r="F349" i="17"/>
  <c r="F382" i="17"/>
  <c r="F414" i="17" s="1"/>
  <c r="F441" i="17" s="1"/>
  <c r="F450" i="17" s="1"/>
  <c r="M292" i="17"/>
  <c r="E311" i="17"/>
  <c r="E382" i="17"/>
  <c r="E414" i="17" s="1"/>
  <c r="E441" i="17" s="1"/>
  <c r="E450" i="17" s="1"/>
  <c r="E349" i="17"/>
  <c r="G382" i="17"/>
  <c r="G414" i="17" s="1"/>
  <c r="G441" i="17" s="1"/>
  <c r="G450" i="17" s="1"/>
  <c r="G349" i="17"/>
  <c r="H382" i="17"/>
  <c r="H414" i="17" s="1"/>
  <c r="H441" i="17" s="1"/>
  <c r="H450" i="17" s="1"/>
  <c r="H349" i="17"/>
  <c r="I349" i="17"/>
  <c r="I382" i="17"/>
  <c r="I414" i="17" s="1"/>
  <c r="I441" i="17" s="1"/>
  <c r="I450" i="17" s="1"/>
  <c r="J349" i="17"/>
  <c r="J382" i="17"/>
  <c r="J414" i="17" s="1"/>
  <c r="J441" i="17" s="1"/>
  <c r="J450" i="17" s="1"/>
  <c r="K382" i="17"/>
  <c r="K414" i="17" s="1"/>
  <c r="K441" i="17" s="1"/>
  <c r="K450" i="17" s="1"/>
  <c r="K349" i="17"/>
  <c r="M233" i="17"/>
  <c r="M451" i="17"/>
  <c r="M452" i="17"/>
  <c r="M343" i="17"/>
  <c r="M346" i="17" s="1"/>
  <c r="K382" i="16"/>
  <c r="K414" i="16" s="1"/>
  <c r="K441" i="16" s="1"/>
  <c r="K450" i="16" s="1"/>
  <c r="K349" i="16"/>
  <c r="F382" i="16"/>
  <c r="F414" i="16" s="1"/>
  <c r="F441" i="16" s="1"/>
  <c r="F450" i="16" s="1"/>
  <c r="F349" i="16"/>
  <c r="E32" i="16"/>
  <c r="M261" i="16"/>
  <c r="E68" i="16" s="1"/>
  <c r="E33" i="16" s="1"/>
  <c r="E16" i="16" s="1"/>
  <c r="E40" i="16"/>
  <c r="H382" i="16"/>
  <c r="H414" i="16" s="1"/>
  <c r="H441" i="16" s="1"/>
  <c r="H450" i="16" s="1"/>
  <c r="H349" i="16"/>
  <c r="J349" i="16"/>
  <c r="J382" i="16"/>
  <c r="J414" i="16" s="1"/>
  <c r="J441" i="16" s="1"/>
  <c r="J450" i="16" s="1"/>
  <c r="E437" i="16"/>
  <c r="L382" i="16"/>
  <c r="L414" i="16" s="1"/>
  <c r="L441" i="16" s="1"/>
  <c r="L450" i="16" s="1"/>
  <c r="L349" i="16"/>
  <c r="E382" i="16"/>
  <c r="E414" i="16" s="1"/>
  <c r="E441" i="16" s="1"/>
  <c r="E450" i="16" s="1"/>
  <c r="E349" i="16"/>
  <c r="G382" i="16"/>
  <c r="G414" i="16" s="1"/>
  <c r="G441" i="16" s="1"/>
  <c r="G450" i="16" s="1"/>
  <c r="G349" i="16"/>
  <c r="I382" i="16"/>
  <c r="I414" i="16" s="1"/>
  <c r="I441" i="16" s="1"/>
  <c r="I450" i="16" s="1"/>
  <c r="I349" i="16"/>
  <c r="M292" i="16"/>
  <c r="E311" i="16"/>
  <c r="M343" i="16"/>
  <c r="M346" i="16" s="1"/>
  <c r="M451" i="16"/>
  <c r="E421" i="17" l="1"/>
  <c r="E32" i="20"/>
  <c r="M261" i="20"/>
  <c r="E68" i="20" s="1"/>
  <c r="E33" i="20" s="1"/>
  <c r="E16" i="20" s="1"/>
  <c r="E422" i="20" s="1"/>
  <c r="E40" i="20"/>
  <c r="E73" i="20"/>
  <c r="M311" i="20"/>
  <c r="E35" i="20" s="1"/>
  <c r="E32" i="19"/>
  <c r="M261" i="19"/>
  <c r="E68" i="19" s="1"/>
  <c r="E33" i="19" s="1"/>
  <c r="E16" i="19" s="1"/>
  <c r="E40" i="19"/>
  <c r="E17" i="19"/>
  <c r="E421" i="19"/>
  <c r="M311" i="19"/>
  <c r="E35" i="19" s="1"/>
  <c r="E73" i="19"/>
  <c r="E32" i="18"/>
  <c r="M261" i="18"/>
  <c r="E68" i="18" s="1"/>
  <c r="E33" i="18" s="1"/>
  <c r="E16" i="18" s="1"/>
  <c r="E40" i="18"/>
  <c r="E73" i="18"/>
  <c r="M311" i="18"/>
  <c r="E35" i="18" s="1"/>
  <c r="E17" i="18"/>
  <c r="E421" i="18"/>
  <c r="E73" i="17"/>
  <c r="M311" i="17"/>
  <c r="E35" i="17" s="1"/>
  <c r="M261" i="17"/>
  <c r="E68" i="17" s="1"/>
  <c r="E33" i="17" s="1"/>
  <c r="E16" i="17" s="1"/>
  <c r="E422" i="17" s="1"/>
  <c r="E32" i="17"/>
  <c r="E40" i="17"/>
  <c r="M311" i="16"/>
  <c r="E35" i="16" s="1"/>
  <c r="E73" i="16"/>
  <c r="E17" i="16"/>
  <c r="E421" i="16"/>
  <c r="E422" i="16" s="1"/>
  <c r="E15" i="20" l="1"/>
  <c r="E36" i="20"/>
  <c r="E95" i="20"/>
  <c r="E21" i="20"/>
  <c r="E95" i="19"/>
  <c r="E21" i="19"/>
  <c r="E15" i="19"/>
  <c r="E36" i="19"/>
  <c r="E422" i="19"/>
  <c r="E15" i="18"/>
  <c r="E36" i="18"/>
  <c r="E95" i="18"/>
  <c r="E21" i="18"/>
  <c r="E422" i="18"/>
  <c r="E15" i="17"/>
  <c r="E36" i="17"/>
  <c r="E21" i="17"/>
  <c r="E95" i="17"/>
  <c r="E95" i="16"/>
  <c r="E21" i="16"/>
  <c r="E15" i="16"/>
  <c r="E36" i="16"/>
  <c r="E420" i="20" l="1"/>
  <c r="E425" i="20" s="1"/>
  <c r="E19" i="20" s="1"/>
  <c r="E14" i="20"/>
  <c r="E420" i="19"/>
  <c r="E425" i="19" s="1"/>
  <c r="E19" i="19" s="1"/>
  <c r="E14" i="19"/>
  <c r="E14" i="18"/>
  <c r="E420" i="18"/>
  <c r="E425" i="18" s="1"/>
  <c r="E19" i="18" s="1"/>
  <c r="E420" i="17"/>
  <c r="E425" i="17" s="1"/>
  <c r="E19" i="17" s="1"/>
  <c r="E14" i="17"/>
  <c r="E14" i="16"/>
  <c r="E420" i="16"/>
  <c r="E425" i="16" s="1"/>
  <c r="E19" i="16" s="1"/>
  <c r="E232" i="1" l="1"/>
  <c r="B22" i="11"/>
  <c r="B36" i="11" s="1"/>
  <c r="C16" i="11"/>
  <c r="C22" i="11" s="1"/>
  <c r="C28" i="11" s="1"/>
  <c r="C36" i="11" s="1"/>
  <c r="C9" i="11"/>
  <c r="B22" i="7"/>
  <c r="B36" i="7" s="1"/>
  <c r="C16" i="7"/>
  <c r="C22" i="7" s="1"/>
  <c r="C28" i="7" s="1"/>
  <c r="C36" i="7" s="1"/>
  <c r="C9" i="7"/>
  <c r="B22" i="6"/>
  <c r="B36" i="6" s="1"/>
  <c r="C16" i="6"/>
  <c r="C22" i="6" s="1"/>
  <c r="C28" i="6" s="1"/>
  <c r="C36" i="6" s="1"/>
  <c r="C9" i="6"/>
  <c r="B36" i="5"/>
  <c r="B28" i="5"/>
  <c r="B22" i="5"/>
  <c r="C16" i="5"/>
  <c r="C22" i="5" s="1"/>
  <c r="C28" i="5" s="1"/>
  <c r="C36" i="5" s="1"/>
  <c r="C9" i="5"/>
  <c r="B22" i="4"/>
  <c r="B36" i="4" s="1"/>
  <c r="C16" i="4"/>
  <c r="C22" i="4" s="1"/>
  <c r="C28" i="4" s="1"/>
  <c r="C36" i="4" s="1"/>
  <c r="C9" i="4"/>
  <c r="E94" i="1"/>
  <c r="E26" i="1"/>
  <c r="C9" i="3"/>
  <c r="W67" i="2"/>
  <c r="D67" i="2"/>
  <c r="E67" i="2"/>
  <c r="F67" i="2"/>
  <c r="G67" i="2"/>
  <c r="H67" i="2"/>
  <c r="I67" i="2"/>
  <c r="J67" i="2"/>
  <c r="K67" i="2"/>
  <c r="L67" i="2"/>
  <c r="M67" i="2"/>
  <c r="N67" i="2"/>
  <c r="O67" i="2"/>
  <c r="P67" i="2"/>
  <c r="Q67" i="2"/>
  <c r="R67" i="2"/>
  <c r="S67" i="2"/>
  <c r="T67" i="2"/>
  <c r="U67" i="2"/>
  <c r="V67" i="2"/>
  <c r="X67" i="2"/>
  <c r="C67" i="2"/>
  <c r="B22" i="3"/>
  <c r="B36" i="3" s="1"/>
  <c r="C16" i="3"/>
  <c r="C22" i="3" s="1"/>
  <c r="C28" i="3" s="1"/>
  <c r="C36" i="3" s="1"/>
  <c r="D66" i="2"/>
  <c r="E66" i="2"/>
  <c r="F66" i="2"/>
  <c r="G66" i="2"/>
  <c r="H66" i="2"/>
  <c r="I66" i="2"/>
  <c r="J66" i="2"/>
  <c r="K66" i="2"/>
  <c r="L66" i="2"/>
  <c r="M66" i="2"/>
  <c r="N66" i="2"/>
  <c r="O66" i="2"/>
  <c r="P66" i="2"/>
  <c r="Q66" i="2"/>
  <c r="R66" i="2"/>
  <c r="S66" i="2"/>
  <c r="T66" i="2"/>
  <c r="U66" i="2"/>
  <c r="V66" i="2"/>
  <c r="W66" i="2"/>
  <c r="X66" i="2"/>
  <c r="C66" i="2"/>
  <c r="B28" i="11" l="1"/>
  <c r="B28" i="7"/>
  <c r="B28" i="6"/>
  <c r="B28" i="4"/>
  <c r="B28" i="3"/>
  <c r="M455" i="1" l="1"/>
  <c r="M454" i="1"/>
  <c r="M445" i="1"/>
  <c r="F452" i="1"/>
  <c r="G452" i="1"/>
  <c r="H452" i="1"/>
  <c r="I452" i="1"/>
  <c r="J452" i="1"/>
  <c r="K452" i="1"/>
  <c r="L452" i="1"/>
  <c r="F451" i="1"/>
  <c r="G451" i="1"/>
  <c r="H451" i="1"/>
  <c r="I451" i="1"/>
  <c r="J451" i="1"/>
  <c r="K451" i="1"/>
  <c r="L451" i="1"/>
  <c r="E452" i="1"/>
  <c r="E451" i="1"/>
  <c r="M446" i="1"/>
  <c r="M443" i="1"/>
  <c r="M442" i="1"/>
  <c r="M452" i="1" l="1"/>
  <c r="E434" i="1"/>
  <c r="M451" i="1"/>
  <c r="E431" i="1"/>
  <c r="E437" i="1" s="1"/>
  <c r="E421" i="1" s="1"/>
  <c r="E423" i="1"/>
  <c r="E401" i="1"/>
  <c r="E403" i="1" s="1"/>
  <c r="M397" i="1"/>
  <c r="M395" i="1"/>
  <c r="M394" i="1"/>
  <c r="M391" i="1"/>
  <c r="M390" i="1"/>
  <c r="L392" i="1"/>
  <c r="K392" i="1"/>
  <c r="J392" i="1"/>
  <c r="I392" i="1"/>
  <c r="H392" i="1"/>
  <c r="G392" i="1"/>
  <c r="F392" i="1"/>
  <c r="E392" i="1"/>
  <c r="F387" i="1"/>
  <c r="G387" i="1"/>
  <c r="H387" i="1"/>
  <c r="I387" i="1"/>
  <c r="J387" i="1"/>
  <c r="K387" i="1"/>
  <c r="L387" i="1"/>
  <c r="E387" i="1"/>
  <c r="M386" i="1"/>
  <c r="M385" i="1"/>
  <c r="M341" i="1"/>
  <c r="M387" i="1" l="1"/>
  <c r="M392" i="1"/>
  <c r="M345" i="1" l="1"/>
  <c r="M344" i="1"/>
  <c r="M342" i="1"/>
  <c r="M340" i="1"/>
  <c r="M339" i="1"/>
  <c r="M338" i="1"/>
  <c r="M337" i="1"/>
  <c r="M336" i="1"/>
  <c r="M335" i="1"/>
  <c r="M334" i="1"/>
  <c r="M333" i="1"/>
  <c r="M332" i="1"/>
  <c r="M331" i="1"/>
  <c r="M330" i="1"/>
  <c r="M329" i="1"/>
  <c r="M328" i="1"/>
  <c r="M327" i="1"/>
  <c r="F343" i="1"/>
  <c r="F346" i="1" s="1"/>
  <c r="G343" i="1"/>
  <c r="G346" i="1" s="1"/>
  <c r="H343" i="1"/>
  <c r="H346" i="1" s="1"/>
  <c r="I343" i="1"/>
  <c r="I346" i="1" s="1"/>
  <c r="J343" i="1"/>
  <c r="J346" i="1" s="1"/>
  <c r="K343" i="1"/>
  <c r="K346" i="1" s="1"/>
  <c r="L343" i="1"/>
  <c r="L346" i="1" s="1"/>
  <c r="E343" i="1"/>
  <c r="E346" i="1" s="1"/>
  <c r="E309" i="1" s="1"/>
  <c r="M325" i="1"/>
  <c r="L321" i="1"/>
  <c r="L292" i="1" s="1"/>
  <c r="L311" i="1" s="1"/>
  <c r="K321" i="1"/>
  <c r="K292" i="1" s="1"/>
  <c r="K311" i="1" s="1"/>
  <c r="J321" i="1"/>
  <c r="J292" i="1" s="1"/>
  <c r="J311" i="1" s="1"/>
  <c r="I321" i="1"/>
  <c r="I292" i="1" s="1"/>
  <c r="I311" i="1" s="1"/>
  <c r="H321" i="1"/>
  <c r="H292" i="1" s="1"/>
  <c r="H311" i="1" s="1"/>
  <c r="G321" i="1"/>
  <c r="G292" i="1" s="1"/>
  <c r="G311" i="1" s="1"/>
  <c r="F321" i="1"/>
  <c r="F292" i="1" s="1"/>
  <c r="F311" i="1" s="1"/>
  <c r="E321" i="1"/>
  <c r="M320" i="1"/>
  <c r="M319" i="1"/>
  <c r="M315" i="1"/>
  <c r="M295" i="1"/>
  <c r="M296" i="1"/>
  <c r="M297" i="1"/>
  <c r="M298" i="1"/>
  <c r="M299" i="1"/>
  <c r="M300" i="1"/>
  <c r="M301" i="1"/>
  <c r="M302" i="1"/>
  <c r="M303" i="1"/>
  <c r="M304" i="1"/>
  <c r="M305" i="1"/>
  <c r="M306" i="1"/>
  <c r="M307" i="1"/>
  <c r="M308" i="1"/>
  <c r="M309" i="1"/>
  <c r="M310" i="1"/>
  <c r="M294" i="1"/>
  <c r="F271" i="1"/>
  <c r="G271" i="1"/>
  <c r="H271" i="1"/>
  <c r="I271" i="1"/>
  <c r="J271" i="1"/>
  <c r="K271" i="1"/>
  <c r="L271" i="1"/>
  <c r="E271" i="1"/>
  <c r="M286" i="1"/>
  <c r="M283" i="1"/>
  <c r="M275" i="1"/>
  <c r="M278" i="1"/>
  <c r="E292" i="1" l="1"/>
  <c r="E311" i="1" s="1"/>
  <c r="M343" i="1"/>
  <c r="M346" i="1" s="1"/>
  <c r="M321" i="1"/>
  <c r="M292" i="1"/>
  <c r="M311" i="1" s="1"/>
  <c r="E35" i="1" s="1"/>
  <c r="E15" i="1" s="1"/>
  <c r="M277" i="1" l="1"/>
  <c r="M276" i="1"/>
  <c r="M270" i="1"/>
  <c r="M269" i="1"/>
  <c r="M265" i="1"/>
  <c r="F233" i="1"/>
  <c r="F261" i="1" s="1"/>
  <c r="G233" i="1"/>
  <c r="G261" i="1" s="1"/>
  <c r="H233" i="1"/>
  <c r="H261" i="1" s="1"/>
  <c r="I233" i="1"/>
  <c r="I261" i="1" s="1"/>
  <c r="J233" i="1"/>
  <c r="J261" i="1" s="1"/>
  <c r="K233" i="1"/>
  <c r="K261" i="1" s="1"/>
  <c r="L233" i="1"/>
  <c r="L261" i="1" s="1"/>
  <c r="E233" i="1"/>
  <c r="E261" i="1" s="1"/>
  <c r="F264" i="1"/>
  <c r="F274" i="1" s="1"/>
  <c r="F282" i="1" s="1"/>
  <c r="F291" i="1" s="1"/>
  <c r="F314" i="1" s="1"/>
  <c r="F324" i="1" s="1"/>
  <c r="G264" i="1"/>
  <c r="G274" i="1" s="1"/>
  <c r="G282" i="1" s="1"/>
  <c r="G291" i="1" s="1"/>
  <c r="G314" i="1" s="1"/>
  <c r="G324" i="1" s="1"/>
  <c r="H264" i="1"/>
  <c r="H274" i="1" s="1"/>
  <c r="H282" i="1" s="1"/>
  <c r="H291" i="1" s="1"/>
  <c r="H314" i="1" s="1"/>
  <c r="H324" i="1" s="1"/>
  <c r="I264" i="1"/>
  <c r="I274" i="1" s="1"/>
  <c r="I282" i="1" s="1"/>
  <c r="I291" i="1" s="1"/>
  <c r="I314" i="1" s="1"/>
  <c r="I324" i="1" s="1"/>
  <c r="J264" i="1"/>
  <c r="J274" i="1" s="1"/>
  <c r="J282" i="1" s="1"/>
  <c r="J291" i="1" s="1"/>
  <c r="J314" i="1" s="1"/>
  <c r="J324" i="1" s="1"/>
  <c r="K264" i="1"/>
  <c r="K274" i="1" s="1"/>
  <c r="K282" i="1" s="1"/>
  <c r="K291" i="1" s="1"/>
  <c r="K314" i="1" s="1"/>
  <c r="K324" i="1" s="1"/>
  <c r="L264" i="1"/>
  <c r="L274" i="1" s="1"/>
  <c r="L282" i="1" s="1"/>
  <c r="L291" i="1" s="1"/>
  <c r="L314" i="1" s="1"/>
  <c r="L324" i="1" s="1"/>
  <c r="E264" i="1"/>
  <c r="E274" i="1" s="1"/>
  <c r="E282" i="1" s="1"/>
  <c r="E291" i="1" s="1"/>
  <c r="E314" i="1" s="1"/>
  <c r="E324" i="1" s="1"/>
  <c r="M264" i="1"/>
  <c r="M274" i="1" s="1"/>
  <c r="M282" i="1" s="1"/>
  <c r="M291" i="1" s="1"/>
  <c r="M314" i="1" s="1"/>
  <c r="M324" i="1" s="1"/>
  <c r="M382" i="1" s="1"/>
  <c r="M257" i="1"/>
  <c r="M260" i="1"/>
  <c r="M259" i="1"/>
  <c r="M258" i="1"/>
  <c r="M256" i="1"/>
  <c r="M255" i="1"/>
  <c r="M254" i="1"/>
  <c r="M253" i="1"/>
  <c r="M252" i="1"/>
  <c r="M251" i="1"/>
  <c r="M250" i="1"/>
  <c r="M249" i="1"/>
  <c r="M248" i="1"/>
  <c r="M247" i="1"/>
  <c r="M246" i="1"/>
  <c r="M245" i="1"/>
  <c r="M244" i="1"/>
  <c r="M243" i="1"/>
  <c r="M242" i="1"/>
  <c r="M241" i="1"/>
  <c r="M240" i="1"/>
  <c r="M239" i="1"/>
  <c r="M238" i="1"/>
  <c r="M237" i="1"/>
  <c r="M236" i="1"/>
  <c r="M235" i="1"/>
  <c r="E204" i="1"/>
  <c r="E102" i="1"/>
  <c r="F151" i="1"/>
  <c r="E151" i="1"/>
  <c r="G382" i="1" l="1"/>
  <c r="G414" i="1" s="1"/>
  <c r="G441" i="1" s="1"/>
  <c r="G450" i="1" s="1"/>
  <c r="G349" i="1"/>
  <c r="E382" i="1"/>
  <c r="E414" i="1" s="1"/>
  <c r="E441" i="1" s="1"/>
  <c r="E450" i="1" s="1"/>
  <c r="E349" i="1"/>
  <c r="L382" i="1"/>
  <c r="L414" i="1" s="1"/>
  <c r="L441" i="1" s="1"/>
  <c r="L450" i="1" s="1"/>
  <c r="L349" i="1"/>
  <c r="K382" i="1"/>
  <c r="K414" i="1" s="1"/>
  <c r="K441" i="1" s="1"/>
  <c r="K450" i="1" s="1"/>
  <c r="K349" i="1"/>
  <c r="J382" i="1"/>
  <c r="J414" i="1" s="1"/>
  <c r="J441" i="1" s="1"/>
  <c r="J450" i="1" s="1"/>
  <c r="J349" i="1"/>
  <c r="I382" i="1"/>
  <c r="I414" i="1" s="1"/>
  <c r="I441" i="1" s="1"/>
  <c r="I450" i="1" s="1"/>
  <c r="I349" i="1"/>
  <c r="F382" i="1"/>
  <c r="F414" i="1" s="1"/>
  <c r="F441" i="1" s="1"/>
  <c r="F450" i="1" s="1"/>
  <c r="F349" i="1"/>
  <c r="H382" i="1"/>
  <c r="H414" i="1" s="1"/>
  <c r="H441" i="1" s="1"/>
  <c r="H450" i="1" s="1"/>
  <c r="H349" i="1"/>
  <c r="M271" i="1"/>
  <c r="M279" i="1"/>
  <c r="M233" i="1"/>
  <c r="M261" i="1" s="1"/>
  <c r="E129" i="1" l="1"/>
  <c r="E130" i="1"/>
  <c r="E131" i="1"/>
  <c r="E132" i="1"/>
  <c r="E133" i="1"/>
  <c r="E134" i="1"/>
  <c r="E135" i="1"/>
  <c r="E136" i="1"/>
  <c r="E137" i="1"/>
  <c r="E138" i="1"/>
  <c r="E139" i="1"/>
  <c r="E140" i="1"/>
  <c r="E141" i="1"/>
  <c r="E142" i="1"/>
  <c r="E143" i="1"/>
  <c r="E128" i="1"/>
  <c r="F122" i="1"/>
  <c r="F121" i="1"/>
  <c r="F115" i="1"/>
  <c r="F118" i="1" s="1"/>
  <c r="F109" i="1"/>
  <c r="E93" i="1"/>
  <c r="E78" i="1"/>
  <c r="E22" i="1" s="1"/>
  <c r="E79" i="1"/>
  <c r="E80" i="1"/>
  <c r="E81" i="1"/>
  <c r="E23" i="1" s="1"/>
  <c r="E82" i="1"/>
  <c r="E83" i="1"/>
  <c r="E84" i="1"/>
  <c r="E85" i="1"/>
  <c r="E86" i="1"/>
  <c r="E87" i="1"/>
  <c r="E88" i="1"/>
  <c r="E89" i="1"/>
  <c r="E90" i="1"/>
  <c r="E91" i="1"/>
  <c r="E77" i="1"/>
  <c r="E92" i="1"/>
  <c r="E75" i="1"/>
  <c r="E73" i="1"/>
  <c r="E68" i="1"/>
  <c r="E33" i="1" s="1"/>
  <c r="E16" i="1" s="1"/>
  <c r="E422" i="1" s="1"/>
  <c r="E43" i="1"/>
  <c r="E44" i="1"/>
  <c r="E45" i="1"/>
  <c r="E46" i="1"/>
  <c r="E47" i="1"/>
  <c r="E48" i="1"/>
  <c r="E49" i="1"/>
  <c r="E50" i="1"/>
  <c r="E51" i="1"/>
  <c r="E52" i="1"/>
  <c r="E53" i="1"/>
  <c r="E54" i="1"/>
  <c r="E55" i="1"/>
  <c r="E25" i="1" s="1"/>
  <c r="E56" i="1"/>
  <c r="E57" i="1"/>
  <c r="E58" i="1"/>
  <c r="E59" i="1"/>
  <c r="E60" i="1"/>
  <c r="E61" i="1"/>
  <c r="E62" i="1"/>
  <c r="E63" i="1"/>
  <c r="E64" i="1"/>
  <c r="E65" i="1"/>
  <c r="E66" i="1"/>
  <c r="E67" i="1"/>
  <c r="E42" i="1"/>
  <c r="E34" i="1" s="1"/>
  <c r="E40" i="1"/>
  <c r="E32" i="1"/>
  <c r="E18" i="1"/>
  <c r="E17" i="1"/>
  <c r="E21" i="1" l="1"/>
  <c r="E95" i="1"/>
  <c r="E144" i="1"/>
  <c r="F119" i="1" s="1"/>
  <c r="F120" i="1" s="1"/>
  <c r="F123" i="1" s="1"/>
  <c r="E24" i="1" s="1"/>
  <c r="E36" i="1"/>
  <c r="E420" i="1" s="1"/>
  <c r="E425" i="1" s="1"/>
  <c r="E14" i="1" l="1"/>
  <c r="E19" i="1"/>
</calcChain>
</file>

<file path=xl/sharedStrings.xml><?xml version="1.0" encoding="utf-8"?>
<sst xmlns="http://schemas.openxmlformats.org/spreadsheetml/2006/main" count="9614" uniqueCount="1109">
  <si>
    <t>3.1 Characteristics of the jurisdiction (Information purpose only)</t>
  </si>
  <si>
    <t>applicable</t>
  </si>
  <si>
    <t>Switzerland</t>
  </si>
  <si>
    <t>n/a</t>
  </si>
  <si>
    <t>3.2 ETR computation</t>
  </si>
  <si>
    <t>OverallComputation</t>
  </si>
  <si>
    <t>3.2.1 ETR</t>
  </si>
  <si>
    <t>FANIL</t>
  </si>
  <si>
    <t>Note 3.2.1.a</t>
  </si>
  <si>
    <t>a. Financial Accounting Net Income or Loss</t>
  </si>
  <si>
    <t>NetGlobeIncome</t>
  </si>
  <si>
    <t>Note 3.2.1.b</t>
  </si>
  <si>
    <t>IncomeTaxExpense</t>
  </si>
  <si>
    <t>Note 3.2.1.c</t>
  </si>
  <si>
    <t>AdjustedCoveredTax</t>
  </si>
  <si>
    <t>Note 3.2.1.d</t>
  </si>
  <si>
    <t>ETRRate</t>
  </si>
  <si>
    <t>Note 3.2.1.e</t>
  </si>
  <si>
    <t>3.2.1.1 Computation of GloBE Income (Loss) of the Jurisdiction</t>
  </si>
  <si>
    <t>AdjustedFANIL</t>
  </si>
  <si>
    <t>1. Aggregate FANIL amount after allocations in Articles 3.4 and 3.5 (All CEs in the jurisdiction)</t>
  </si>
  <si>
    <t>Adjustments</t>
  </si>
  <si>
    <t>2. Adjustments</t>
  </si>
  <si>
    <t>GIR2001</t>
  </si>
  <si>
    <t>GIR2002</t>
  </si>
  <si>
    <t>GIR2003</t>
  </si>
  <si>
    <t>GIR2004</t>
  </si>
  <si>
    <t>GIR2005</t>
  </si>
  <si>
    <t>GIR2006</t>
  </si>
  <si>
    <t>GIR2007</t>
  </si>
  <si>
    <t>GIR2008</t>
  </si>
  <si>
    <t>GIR2009</t>
  </si>
  <si>
    <t>GIR2010</t>
  </si>
  <si>
    <t>GIR2011</t>
  </si>
  <si>
    <t>GIR2012</t>
  </si>
  <si>
    <t>GIR2013</t>
  </si>
  <si>
    <t>GIR2014</t>
  </si>
  <si>
    <t>GIR2015</t>
  </si>
  <si>
    <t>GIR2016</t>
  </si>
  <si>
    <t>GIR2017</t>
  </si>
  <si>
    <t>GIR2018</t>
  </si>
  <si>
    <t>GIR2019</t>
  </si>
  <si>
    <t>GIR2020</t>
  </si>
  <si>
    <t>GIR2021</t>
  </si>
  <si>
    <t>GIR2022</t>
  </si>
  <si>
    <t>GIR2023</t>
  </si>
  <si>
    <t>GIR2024</t>
  </si>
  <si>
    <t>GIR2025</t>
  </si>
  <si>
    <t>GIR2026</t>
  </si>
  <si>
    <t>Note 3.2.1.1.3</t>
  </si>
  <si>
    <t>3. Net GloBE Income (Loss) of the Jurisdiction</t>
  </si>
  <si>
    <t>3.2.1.2 Computation of Adjusted Covered Taxes</t>
  </si>
  <si>
    <t>(a)  Total amount of Adjusted Covered Taxes</t>
  </si>
  <si>
    <t>AggregrateCurrentTax</t>
  </si>
  <si>
    <t>Note 3.2.1.2.a.1</t>
  </si>
  <si>
    <t>1. Aggregate Current tax expense with respect to Covered Taxes after allocations in Article 4.3 (All CEs in the jurisdiction)</t>
  </si>
  <si>
    <t>GIR2701</t>
  </si>
  <si>
    <t>GIR2401</t>
  </si>
  <si>
    <t>GIR2702</t>
  </si>
  <si>
    <t>Article 4.5 provides an elective rule to effectively carry GloBE losses forward with a deemed deferred tax asset. When elected, Article 4.5 applies in lieu of the Article 4.4 modified deferred tax accounting rules. Accordingly, Article 4.5 is generally expected to be of greatest utility as a simplification in jurisdictions that do not impose a corporate income tax or impose one at a very low rate given that when the election is made, Article 4.4 no longer applies and temporary differences may result in Top-up Tax.</t>
  </si>
  <si>
    <t>GIR2703</t>
  </si>
  <si>
    <t>GIR2402</t>
  </si>
  <si>
    <t>GIR2704</t>
  </si>
  <si>
    <t>GIR2403</t>
  </si>
  <si>
    <t>Note 3.2.1.2.a.2.d</t>
  </si>
  <si>
    <t>GIR2705</t>
  </si>
  <si>
    <t>GIR2404</t>
  </si>
  <si>
    <t>GIR2706</t>
  </si>
  <si>
    <t>GIR2405</t>
  </si>
  <si>
    <t>GIR2707</t>
  </si>
  <si>
    <t>GIR2406</t>
  </si>
  <si>
    <t>Note 3.2.1.2.a.2.g</t>
  </si>
  <si>
    <t>GIR2708</t>
  </si>
  <si>
    <t>GIR2407</t>
  </si>
  <si>
    <t>Note 3.2.1.2.a.2.h</t>
  </si>
  <si>
    <t>GIR2709</t>
  </si>
  <si>
    <t>GIR2408</t>
  </si>
  <si>
    <t>GIR2710</t>
  </si>
  <si>
    <t>GIR2409</t>
  </si>
  <si>
    <t>GIR2711</t>
  </si>
  <si>
    <t>GIR2410</t>
  </si>
  <si>
    <t>GIR2712</t>
  </si>
  <si>
    <t>GIR2411</t>
  </si>
  <si>
    <t>GIR2713</t>
  </si>
  <si>
    <t>GIR2412</t>
  </si>
  <si>
    <t>GIR2714</t>
  </si>
  <si>
    <t>GIR2413</t>
  </si>
  <si>
    <t>GIR2715</t>
  </si>
  <si>
    <t>GIR2414</t>
  </si>
  <si>
    <t>GIR2716</t>
  </si>
  <si>
    <t>GIR2415</t>
  </si>
  <si>
    <t>GIR2417</t>
  </si>
  <si>
    <t>GIR2416</t>
  </si>
  <si>
    <t>GIR2718</t>
  </si>
  <si>
    <t>GIR2719</t>
  </si>
  <si>
    <t>GeneratedInRFY</t>
  </si>
  <si>
    <t>Note 3.2.1.2.a.2.s</t>
  </si>
  <si>
    <t>GIR2720</t>
  </si>
  <si>
    <t>UtilizedInRFY</t>
  </si>
  <si>
    <t>Note 3.2.1.2.a.2.t</t>
  </si>
  <si>
    <t>3. Adjusted Covered Taxes</t>
  </si>
  <si>
    <t>ExcessNegTaxExpense</t>
  </si>
  <si>
    <t>not applicable</t>
  </si>
  <si>
    <t>In a Fiscal Year in which there is no Net GloBE Income for a jurisdiction, if the AdjustedCovered Taxes for a jurisdiction are less than zero and less than the Expected Adjusted CoveredTaxes Amount the Constituent Entities in that jurisdiction shall be treated as having AdditionalCurrent Top-up Tax for the jurisdiction under Article 5.4 arising in the current Fiscal Year equal tothe difference between these amounts. The Expected Adjusted Covered Taxes Amount is equal to the GloBE Income or Loss for a jurisdiction multiplied by the Minimum Rate.</t>
  </si>
  <si>
    <t>PriorYearBalance</t>
  </si>
  <si>
    <t>Note 3.2.1.2.b.1</t>
  </si>
  <si>
    <t>Note 3.2.1.2.b.2</t>
  </si>
  <si>
    <t>Note 3.2.1.2.b.3</t>
  </si>
  <si>
    <t>Remaining</t>
  </si>
  <si>
    <t>Note 3.2.1.2.b.4</t>
  </si>
  <si>
    <t>Note 3.2.1.2.c / Note 3.2.1.2.c.1 / Note 3.2.1.2.c.2 / Note 3.2.1.2.c.3</t>
  </si>
  <si>
    <t>1. CFC Jurisdictions</t>
  </si>
  <si>
    <t>2. Subgroup</t>
  </si>
  <si>
    <t>3. Aggregated taxes allocated to that subgroup under a Blended CFC Tax Regime</t>
  </si>
  <si>
    <t>Total</t>
  </si>
  <si>
    <t>3.2.2 Jurisdictional computations relating to deferred tax accounting</t>
  </si>
  <si>
    <t>(a)  High-level summary</t>
  </si>
  <si>
    <t>DefTaxAmt</t>
  </si>
  <si>
    <t>DeferTaxExpense</t>
  </si>
  <si>
    <t>Note 3.2.2.1.a.1.a</t>
  </si>
  <si>
    <t>DiffCarryValue</t>
  </si>
  <si>
    <t>Note 3.2.2.1.a.1.b</t>
  </si>
  <si>
    <t>GloBEValue</t>
  </si>
  <si>
    <t>Note 3.2.2.1.a.1.c</t>
  </si>
  <si>
    <t>BefRecastAdjust</t>
  </si>
  <si>
    <t>Note 3.2.2.1.a.1.d</t>
  </si>
  <si>
    <t>TotalAdjust</t>
  </si>
  <si>
    <t>Note 3.2.2.1.a.2</t>
  </si>
  <si>
    <t>PreRecast</t>
  </si>
  <si>
    <t>Note 3.2.2.1.a.3.e</t>
  </si>
  <si>
    <t>Higher</t>
  </si>
  <si>
    <t>Note 3.2.2.1.a.3.f</t>
  </si>
  <si>
    <t>Lower</t>
  </si>
  <si>
    <t>Note 3.2.2.1.a.3.g</t>
  </si>
  <si>
    <t>DeferTaxAdjustAmt</t>
  </si>
  <si>
    <t>Note 3.2.2.1.a.4</t>
  </si>
  <si>
    <t>(b)  Breakdown of the adjustments</t>
  </si>
  <si>
    <t>AdjustmentItem</t>
  </si>
  <si>
    <t>Note 3.2.2.1.b</t>
  </si>
  <si>
    <t>1. Adjustments to deferred tax expense</t>
  </si>
  <si>
    <t>Net amount</t>
  </si>
  <si>
    <t>GIR2501</t>
  </si>
  <si>
    <t>GIR2502</t>
  </si>
  <si>
    <t>GIR2503</t>
  </si>
  <si>
    <t>GIR2504</t>
  </si>
  <si>
    <t>GIR2505</t>
  </si>
  <si>
    <t>GIR2506</t>
  </si>
  <si>
    <t>Note 3.2.2.1.b.1.f</t>
  </si>
  <si>
    <t>GIR2507</t>
  </si>
  <si>
    <t>Note 3.2.2.1.b.1.g</t>
  </si>
  <si>
    <t>GIR2508</t>
  </si>
  <si>
    <t>GIR2509</t>
  </si>
  <si>
    <t>GIR2510</t>
  </si>
  <si>
    <t>GIR2511</t>
  </si>
  <si>
    <t>GIR2512</t>
  </si>
  <si>
    <t>GIR2513</t>
  </si>
  <si>
    <t>GIR2514</t>
  </si>
  <si>
    <t>GIR2515</t>
  </si>
  <si>
    <t>Note 3.2.2.1.b.1.p</t>
  </si>
  <si>
    <t>GIR2516</t>
  </si>
  <si>
    <t>Note 3.2.2.1.b.2</t>
  </si>
  <si>
    <t>(c)  Loss carry backs</t>
  </si>
  <si>
    <t>The carryback of a loss to a previous year is taken into account for deferred tax purposes and a deemed deferred tax asset is created, just as it would be if there was a loss carry-forward.
The deemed deferred tax asset is also capped at the minimum 15% global minimum tax rate under Article 4.4.1 of the OECD Model Rules.
As with the creation of any deferred tax asset, this will reduce adjusted covered taxes in the year of creation given the effective accounting entry would be to:
Dr Deferred Tax Assets and Cr Deferred Tax Expense (if it had been processed through the accounts).
In the year the loss is carried back to, the deferred tax asset would be reversed which would increase adjusted covered taxes and be offset against the reduction in the current tax expense in the earlier year.</t>
  </si>
  <si>
    <t>Note 3.2.2.1.c.1.a,b / Note 3.2.2.1.c.1.c / Note 3.2.2.1.c.2.c</t>
  </si>
  <si>
    <t>a. Amount attributed to Prior Fiscal Year X</t>
  </si>
  <si>
    <t>b. Amount attributed to Prior Fiscal Year Y, etc.</t>
  </si>
  <si>
    <t>c. Total</t>
  </si>
  <si>
    <t>3.2.2.2 Recapture mechanism</t>
  </si>
  <si>
    <t>(a) Annual amount of DTLs subject to recapture rule</t>
  </si>
  <si>
    <t>Note 3.2.2.2.a.1</t>
  </si>
  <si>
    <t>1. Amount of DTLs subject to recapture rule claimed in the fifth Fiscal Year preceding the Reporting Fiscal Year</t>
  </si>
  <si>
    <t>Note 3.2.2.2.a.2</t>
  </si>
  <si>
    <t>2. Amount of Recaptured Deferred Tax Liability determined in the Reporting Fiscal Year in relation to the fifth Fiscal Year preceding the Reporting Fiscal Year</t>
  </si>
  <si>
    <t>Note 3.2.2.2.a.3</t>
  </si>
  <si>
    <t>3. Amount of DTLs subject to recapture rule claimed for the Reporting Fiscal Year</t>
  </si>
  <si>
    <t>(b) Aggregate DTL recapture accounts</t>
  </si>
  <si>
    <t>Note 3.2.2.2.b</t>
  </si>
  <si>
    <t>1. Reporting Fiscal Year</t>
  </si>
  <si>
    <t>2. Prior Fiscal Year</t>
  </si>
  <si>
    <t>Note 3.2.2.b.a.1 / Note 3.2.2.b.a.2</t>
  </si>
  <si>
    <t>a. Amount of pre-Transition Year DTLs</t>
  </si>
  <si>
    <t>Note 3.2.2.b.b.1 / Note 3.2.2.b.b.2</t>
  </si>
  <si>
    <t>b. Amount of Outstanding Balance</t>
  </si>
  <si>
    <t>Note 3.2.2.b.c.1 / Note 3.2.2.b.c.2</t>
  </si>
  <si>
    <t>c. Amount of Unjustified Balance</t>
  </si>
  <si>
    <t>3.2.2.3 Transition rules</t>
  </si>
  <si>
    <t>Note 3.2.2.3</t>
  </si>
  <si>
    <t>Deferred tax liabilities</t>
  </si>
  <si>
    <t>Note 3.2.2.3.a.1 / Note 3.2.2.3.a.2</t>
  </si>
  <si>
    <t>2.  Deferred tax liabilities recast at the Minimum Rate (if applicable)</t>
  </si>
  <si>
    <t>Note 3.2.2.3.a.3 / Note 3.2.2.3.a.4 / Note 3.2.2.3.a.5 / Note 3.2.2.3.a.6</t>
  </si>
  <si>
    <t>Deferred tax assets</t>
  </si>
  <si>
    <t>Note 3.2.2.3.b.1 / Note 3.2.2.3.b.2 / Note 3.2.2.3.b.3 / Note 3.2.2.3.b.4 / Note 3.2.2.3.b.5</t>
  </si>
  <si>
    <t>(b)  Application of Article 9.1.3.</t>
  </si>
  <si>
    <t>In the case of a transfer of assets between Constituent Entities after 30 November 2021 and before the commencement of a Transition Year, the basis in the acquired assets (other than inventory) shall be based upon the disposing Entity’s carrying value of the transferred assets upon disposition with the deferred tax assets and liabilities brought into GloBE determined on that basis.</t>
  </si>
  <si>
    <t>3.2.3 Jurisdictional elections (if any)</t>
  </si>
  <si>
    <t>(a)  Elections</t>
  </si>
  <si>
    <t>Note 3.2.3.1</t>
  </si>
  <si>
    <t>A Filing Constituent Entity may elect for a jurisdiction to adjust GloBE Income or Loss with respect to each previous Fiscal Year in the Look-back Period and to spread any remaining Adjusted Asset Gain over the Look-back Period.</t>
  </si>
  <si>
    <t>A Filing Constituent Entity may make an Annual Election to treat an immaterial decrease in Covered Taxes as an adjustment to Covered Taxes in the Fiscal Year in which the adjustment is made. An immaterial decrease in Covered Taxes is an aggregate decrease of less than EUR 1 million in the Adjusted Covered Taxes determined for the jurisdiction for a Fiscal Year.</t>
  </si>
  <si>
    <t>Note 3.2.3.1.a.1.c</t>
  </si>
  <si>
    <t>A Filing Constituent Entity may elect not to apply the Substance-based Income Exclusion.</t>
  </si>
  <si>
    <t xml:space="preserve">An MNE Group that elects or is required to apply the Excess Negative Tax Expense administrative procedure shall exclude the Excess Negative Tax Expense from its aggregate Adjusted Covered Taxes computed for the Fiscal Year and establish an Excess Negative Tax Expense Carry-forward </t>
  </si>
  <si>
    <t>Note 3.2.3.1.a.3 / Note 3.2.3.1.a.4</t>
  </si>
  <si>
    <t>2. Five-year Elections</t>
  </si>
  <si>
    <t>3. Election Year</t>
  </si>
  <si>
    <t>4. Revocation Year</t>
  </si>
  <si>
    <t>A Filing Constituent Entity may elect for the owners of an Ownership Interest to: (a) Include in its GloBE Income or Loss the (i) accounting gain, profit, or loss with respect to any fair value gains and losses and impairments on that Ownership Interest, (ii) profit and loss attributable to that Ownership Interest where the interest is in a Tax Transparent Entity, and (iii) the dispositions of that Ownership Interest which give rise to gains or losses that are included in the owner’s domestic taxable income, and (b) Include all current and deferred tax expense or benefits associated with these items</t>
  </si>
  <si>
    <t>A Constituent Entity may substitute the amount allowed as a deduction in the computation of its taxable income in its location for the amount expensed in its financial accounts for a cost or expense of such Constituent Entity that was paid with stock-based compensation.</t>
  </si>
  <si>
    <t>With respect to assets and liabilities that are subject to fair value or impairment accounting in the Consolidated Financial Statements, a Filing Constituent Entity may elect to determine gains and losses using the realisation principle for purposes of computing GloBE Income.</t>
  </si>
  <si>
    <t>An Ultimate Parent Entity may elect to apply its consolidated accounting treatment to eliminate income, expense, gains, and losses from transactions between Constituent Entities that are located, and included in a tax consolidation group, in the same jurisdiction for purposes of computing each such Constituent Entity’s Net GloBE Income or Loss.</t>
  </si>
  <si>
    <t>Note 3.2.3.1.a.7</t>
  </si>
  <si>
    <t>Note 3.2.3.1.a.5.j</t>
  </si>
  <si>
    <t>(b)  Information requirements related to jurisdictional elections</t>
  </si>
  <si>
    <t>Note 3.2.3.1.b.1</t>
  </si>
  <si>
    <t>Note 3.2.3.1.b.2</t>
  </si>
  <si>
    <t>Note 3.2.3.1.b.3</t>
  </si>
  <si>
    <t>Note 3.2.3.1.b.4</t>
  </si>
  <si>
    <t>Note 3.2.3.1.b.5</t>
  </si>
  <si>
    <t>3.2.3.2 Election for Article 7.3.1</t>
  </si>
  <si>
    <t>Note 3.2.3.2.a.2 / Note 3.2.3.2.a.3 / Note 3.2.3.2.a.4</t>
  </si>
  <si>
    <t>1. Deemed Distribution Tax election (Article 7.3.1)</t>
  </si>
  <si>
    <t xml:space="preserve">A distribution tax regime is a tax system that generally imposes income tax on a corporation when the corporation’s income is distributed or deemed to be distributed to its shareholders, rather than when it is earned. </t>
  </si>
  <si>
    <t>(a)  Recapture mechanism for Article 7.3</t>
  </si>
  <si>
    <t>1. Fiscal Year</t>
  </si>
  <si>
    <r>
      <rPr>
        <sz val="12"/>
        <rFont val="Arial"/>
        <family val="2"/>
      </rPr>
      <t>4</t>
    </r>
    <r>
      <rPr>
        <vertAlign val="superscript"/>
        <sz val="12"/>
        <rFont val="Arial"/>
        <family val="2"/>
      </rPr>
      <t xml:space="preserve">th </t>
    </r>
    <r>
      <rPr>
        <sz val="12"/>
        <rFont val="Arial"/>
        <family val="2"/>
      </rPr>
      <t>preceding Fiscal Year</t>
    </r>
  </si>
  <si>
    <r>
      <rPr>
        <sz val="12"/>
        <rFont val="Arial"/>
        <family val="2"/>
      </rPr>
      <t>3</t>
    </r>
    <r>
      <rPr>
        <vertAlign val="superscript"/>
        <sz val="12"/>
        <rFont val="Arial"/>
        <family val="2"/>
      </rPr>
      <t xml:space="preserve">rd </t>
    </r>
    <r>
      <rPr>
        <sz val="12"/>
        <rFont val="Arial"/>
        <family val="2"/>
      </rPr>
      <t>preceding Fiscal Year</t>
    </r>
  </si>
  <si>
    <t>Not applicable</t>
  </si>
  <si>
    <r>
      <rPr>
        <sz val="12"/>
        <rFont val="Arial"/>
        <family val="2"/>
      </rPr>
      <t>2</t>
    </r>
    <r>
      <rPr>
        <vertAlign val="superscript"/>
        <sz val="12"/>
        <rFont val="Arial"/>
        <family val="2"/>
      </rPr>
      <t xml:space="preserve">nd </t>
    </r>
    <r>
      <rPr>
        <sz val="12"/>
        <rFont val="Arial"/>
        <family val="2"/>
      </rPr>
      <t>preceding Fiscal Year</t>
    </r>
  </si>
  <si>
    <r>
      <rPr>
        <sz val="12"/>
        <rFont val="Arial"/>
        <family val="2"/>
      </rPr>
      <t>1</t>
    </r>
    <r>
      <rPr>
        <vertAlign val="superscript"/>
        <sz val="12"/>
        <rFont val="Arial"/>
        <family val="2"/>
      </rPr>
      <t xml:space="preserve">st </t>
    </r>
    <r>
      <rPr>
        <sz val="12"/>
        <rFont val="Arial"/>
        <family val="2"/>
      </rPr>
      <t>preceding Fiscal Year</t>
    </r>
  </si>
  <si>
    <t>Reporting Fiscal Year</t>
  </si>
  <si>
    <t>(b)  Application of Article 7.3.7</t>
  </si>
  <si>
    <t>Note 3.2.3.2.b / Note 3.2.3.2.b.2 / Note 3.2.3.2.b.3</t>
  </si>
  <si>
    <t>CEComputation</t>
  </si>
  <si>
    <t>3.2.4 Constituent Entity Computations</t>
  </si>
  <si>
    <t>In section 3.2.4, a breakdown of adjustments presented in Section 3.2.1 is also provided for each Constituent Entity or member of JV Group. The Filing Constituent Entity may elect to use a transitional simplified jurisdictional reporting framework during the transition period as discussed in Section 3.2.4.a. If so, all adjustments identified in section 3.2.4 may not need to be reported</t>
  </si>
  <si>
    <t>(a)  Election for the transitional simplified jurisdictional reporting framework</t>
  </si>
  <si>
    <t>Note 3.2.4.a.1</t>
  </si>
  <si>
    <t>1.     Does the MNE Group elect to apply the transitional simplified jurisdictional reporting framework?</t>
  </si>
  <si>
    <t>Note 3.2.4.b / Note 3.2.4.b.1 / Note 3.2.4.b.2</t>
  </si>
  <si>
    <t>(b)  Aggregated Reporting for Tax Consolidated Groups</t>
  </si>
  <si>
    <t>1. Tax Consolidated Group (TIN)</t>
  </si>
  <si>
    <t>2. Consolidated Entities (TIN)</t>
  </si>
  <si>
    <t>Note 3.2.4.1.a</t>
  </si>
  <si>
    <t>3.2.4.1 GloBE Income or Loss</t>
  </si>
  <si>
    <t>CEid</t>
  </si>
  <si>
    <t>Note 3.2.4.1.a.1</t>
  </si>
  <si>
    <t>1. CE or member of JV Group (TIN)</t>
  </si>
  <si>
    <t>Note 3.2.4.1.a.2</t>
  </si>
  <si>
    <t>2. FANIL amount after allocations in Articles 3.4 and 3.5</t>
  </si>
  <si>
    <t>3. Adjustments</t>
  </si>
  <si>
    <t>Net Taxes Expense means the net amount of: (a) any Covered Taxes accrued as an expense and any current and deferred Covered Taxes included in the income tax expense, including Covered Taxes on income that is excluded from the GloBE Income or Loss computation; (b) any deferred tax asset attributable to a loss for the Fiscal Year; (c) any Qualified Domestic Minimum Top-up Tax accrued as an expense; (d) any taxes arising pursuant to the GloBE rules accrued as an expense; and (e) any Disqualified Refundable Imputation Tax accrued as an expense.</t>
  </si>
  <si>
    <t>GloBE rules foresee a dividend exclusion rule only for long-term shareholdings, which results in GloBE Income for short-term portfolio shareholdings.</t>
  </si>
  <si>
    <t>GloBE excluded equity gain/loss encompasses three categories of gain or loss attributable to an Ownership Interest: 1) Revaluation gains/losses 2) Profit/loss from equity method 3) Sales/dispositions</t>
  </si>
  <si>
    <t>This line item addresses the electable revaluation method available under IAS 16. If cost method is used, this line item is not relevant.</t>
  </si>
  <si>
    <t>Note 3.2.4.1.a.3.e</t>
  </si>
  <si>
    <t>In the case of tax neutral dispoitions of assets and liabilities (GloBE reorganisation), a Filing Constituent Entity can elect to use the asset/liability's carrying value instead of fair value for GloBE purposes.</t>
  </si>
  <si>
    <t>This line item addresses the alignment of a constituent entity's Tax ETR and the Accounting ETR. This should only be the case when the accounting functional currency and the tax functional currency (FX to calculate taxable income for tax return purposes) are not the same.</t>
  </si>
  <si>
    <t>Expenses accrued by a Constituent Entity for fines and penalties imposed by a government (punitive and non-punitive) that are individually or aggregately (periodic fines and penalties) equal to or greater than EUR 50 000 (or an equivalent in the functional currency in which the Constituent Entity’s Financial Accounting Net Income or Loss was calculated). Fines and penalties accruing from to contractual obligations (“Konventionalstrafen”) are not considered policy disallowed expenses. Furthermore, interest charges for late payment of Tax or other liabilities to a governmental unit are not considered fines or penalties for this purpose, and do not need to be added back to Financial Accounting Net Income or Loss.</t>
  </si>
  <si>
    <t>Adjustment for Prior Period Errors that are reflected as adjustments in the opening equity</t>
  </si>
  <si>
    <t>Adjustment for Changes in Accounting Principles that are reflected as adjustments in the opening equity</t>
  </si>
  <si>
    <t xml:space="preserve">GloBE rules foresee to allow a deduction for effective contributions made to a Pension Fund. In case there are other items in the P&amp;L, GloBE Income (Loss) needs to be adjusted for the difference to the effective contribution. </t>
  </si>
  <si>
    <t>Debt release included in the Financial Accounting Net Income or Loss shall be excluded from the computation of a Constituent Entity’s GloBE Income or Loss under prescribed circumstances</t>
  </si>
  <si>
    <t>AdjAmount</t>
  </si>
  <si>
    <t>Note 3.2.4.1.a.3.m</t>
  </si>
  <si>
    <t>Intercompany transactions have to be recorded at the arm's length price. Any uni-/bilateral deviations need to be considered for possible adjustments.</t>
  </si>
  <si>
    <t>Note 3.2.4.1.a.3.n</t>
  </si>
  <si>
    <t xml:space="preserve">GloBE rules foresee that Qualified Refundable Tax Credits are considered GloBE income, whereas Non-Qualified Refundable Tax Credits are excluded from GloBE income. </t>
  </si>
  <si>
    <t xml:space="preserve">When a low-tax entity receives a credit or an investment from a high-tax counterparty and the corresponding income is not taxed in the high-tax jurisdiction, the expense is disallowed for the GloBE Income/(Loss) calculation of the low-tax entity. </t>
  </si>
  <si>
    <t>Consolidates transactions within the local income tax group to avoid distortions between local tax and GloBE. If available separate consolidated financial accounts of entities included in the tax group.</t>
  </si>
  <si>
    <t>Adjusts GloBE Income or Loss to avoid potential mismatch situations on income earned by the insurance company on behalf of policyholders</t>
  </si>
  <si>
    <t>Special rule for the treatment of Additional Tier One Capital, i.e. instruments issued pursuant to prudential regulatory requirements applicable to the banking sector that is convertible to equity or written down if a pre-specified trigger event occurs</t>
  </si>
  <si>
    <t>Note 3.2.4.1.a.3.u</t>
  </si>
  <si>
    <t>A Constituent Entity’s Financial Accounting Net Income or Loss must be adjusted as necessary to reflect the requirements of the relevant provisions of Chapters 6.</t>
  </si>
  <si>
    <t>Note 3.2.4.1.a.3.v</t>
  </si>
  <si>
    <t>Article 7.2 contains a set of rules for UPEs that are subject to a Deductible Dividend Regime. These rules allow a deduction in the computation of the GloBE Income or Loss for Deductible Dividends.</t>
  </si>
  <si>
    <t>Article 7.6 provides another alternative to the treatment of Investment Entities under Article 7.4. This alternative, the Taxable Distribution Method, reduces the exposure to Top-up Tax of income earned through an Investment Entity to the extent that the Investment Entity makes distributions of its income within a four-year period that are taxable in the hands of the recipients at or above the Minimum Rate. Investment Entities that are the UPE are excluded from the operation of the GloBE Rules because they are not Constituent Entities of any MNE Group.</t>
  </si>
  <si>
    <t xml:space="preserve">Article 3.3 provides an exclusion for income derived from international shipping. </t>
  </si>
  <si>
    <t>Note 3.2.4.1.a.3.z</t>
  </si>
  <si>
    <t xml:space="preserve">Article 9.1.3 provides a limitation on intra-group asset transfers before applicability of the GloBE Rules. Article 9.1.3 applies when an asset (other than inventory) is transferred between Entities after 30 November 2021 and before commencement of the Transition Year of an MNE Group if such Entities would have been Constituent Entities of that MNE Group had the GloBE Rules been in effect with respect to that MNE Group immediately before the transfer. When Article 9.1.3 applies, the acquiring Entity must treat the asset for purposes of the GloBE Rules as acquired for an amount equal to the carrying value in the hands of the disposing Entity upon disposition. </t>
  </si>
  <si>
    <t>Note 3.2.4.1.a.4</t>
  </si>
  <si>
    <t>4. GloBE Income (Loss) of the CE or member of JV Group</t>
  </si>
  <si>
    <t>MainEntityPEandFTE</t>
  </si>
  <si>
    <t>Note 3.2.4.1.b</t>
  </si>
  <si>
    <t>(b)  Cross-border allocation of income or loss between a Main Entity and a PE and from an FTE (Articles 3.4 and 3.5)</t>
  </si>
  <si>
    <t>Note 3.2.4.1.b.1</t>
  </si>
  <si>
    <t>1.  CE or members of JV Groups located in this jurisdiction or stateless CE (TIN)</t>
  </si>
  <si>
    <t>Note 3.2.4.1.b.2</t>
  </si>
  <si>
    <t>Standalone Profit after tax according to an Acceptable Financial Accounting Standard as defined in Model Rule 10.1.1. (e.g. IFRS, Swiss GAAP FER, US GAAP). Adjustments might be necessary if certain local items are booked in top side ledgers, except for purchase accounting items. Contrarily, push-down adjustment attributable to purchase accounting are disallowed for GloBE purposes.</t>
  </si>
  <si>
    <t>Basis</t>
  </si>
  <si>
    <t>Note 3.2.4.1.b.3</t>
  </si>
  <si>
    <t>OtherTIN</t>
  </si>
  <si>
    <t>Note 3.2.4.1.b.4</t>
  </si>
  <si>
    <t>ResCountryCode</t>
  </si>
  <si>
    <t>Note 3.2.4.1.b.5</t>
  </si>
  <si>
    <t>Additions</t>
  </si>
  <si>
    <t>Note 3.2.4.1.b.6</t>
  </si>
  <si>
    <t>Reductions</t>
  </si>
  <si>
    <t>Note 3.2.4.1.b.7</t>
  </si>
  <si>
    <t>Note 3.2.4.1.b.8</t>
  </si>
  <si>
    <t>CrossBorderAdjustments</t>
  </si>
  <si>
    <t>Note 3.2.4.1.c</t>
  </si>
  <si>
    <t>Note 3.2.4.1.c.1</t>
  </si>
  <si>
    <t>Note 3.2.4.1.c.2</t>
  </si>
  <si>
    <t>Note 3.2.4.1.c.3</t>
  </si>
  <si>
    <t>3. Other CE or member of JV Group (TIN)</t>
  </si>
  <si>
    <t>Note 3.2.4.1.c.4</t>
  </si>
  <si>
    <t>Note 3.2.4.1.c.5 / Note 3.2.4.1.c.6</t>
  </si>
  <si>
    <t>Note 3.2.4.1.d</t>
  </si>
  <si>
    <t>(d)  Adjustments to the GloBE Income of the UPE under Article 7.1 or Article 7.2</t>
  </si>
  <si>
    <t>Note 3.2.4.1.d.1</t>
  </si>
  <si>
    <t>Note 3.2.4.1.d.2</t>
  </si>
  <si>
    <t>2. Basis for reduction</t>
  </si>
  <si>
    <t>Note 3.2.4.1.d.3</t>
  </si>
  <si>
    <t>3. Identification of holders of Ownership Interests or dividend recipients (see note)</t>
  </si>
  <si>
    <t>Note 3.2.4.1.d.4</t>
  </si>
  <si>
    <t>4. Ownership interest directly held (in percentage)</t>
  </si>
  <si>
    <t>Note 3.2.4.1.d.5</t>
  </si>
  <si>
    <t>5. Reductions for this CE</t>
  </si>
  <si>
    <t>3.2.4.2 Adjusted Covered taxes</t>
  </si>
  <si>
    <t>Note 3.2.4.2.a</t>
  </si>
  <si>
    <t>(a)  Adjustments to the Current tax expense in the Financial Accounts</t>
  </si>
  <si>
    <t>Note 3.2.4.2.a.1</t>
  </si>
  <si>
    <t>AdjustedIncomeTax</t>
  </si>
  <si>
    <t>Note 3.2.4.2.a.2</t>
  </si>
  <si>
    <t>2. Current tax expense with respect to Covered Taxes after allocations in Article 4.3</t>
  </si>
  <si>
    <t>Other Covered Taxes accrued as an expense in the profit before taxation in the financial accounts</t>
  </si>
  <si>
    <t>Amount of Covered Taxes that is paid in the Fiscal Year and that relates to an uncertain tax position where that amount has been treated for a previous Fiscal YEAR as a reduction to Covered Taxes under Article 4.1.3(d). The interest and penalties included in the UTP payment above must be eliminated.</t>
  </si>
  <si>
    <t>Note 3.2.4.2.a.3.c</t>
  </si>
  <si>
    <t>Amount of Marketable Transferable Tax Credit accrued as a reduction of tax expense, Any portion of Marketable Transferable Tax Credit treated as income that does not meet the legal transferability and marketability standards, Credit or refund in respect of a Qualified Refundable Tax Credit recorded in current tax expense line, Adjustment for tax refunds</t>
  </si>
  <si>
    <t>DTA related to equity gain or loss subject to the Equity Investment Inclusion Election, All Deferred Tax Amounts related to an item that was excluded from the calculation of Qualifying Income. These amounts have to be reversed.</t>
  </si>
  <si>
    <t>All Current Tax Amounts related to an item that was excluded from the calculation of Qualifying Income. These amounts have to be reversed.</t>
  </si>
  <si>
    <t>Note 3.2.4.2.a.3.f</t>
  </si>
  <si>
    <t>Amount of credit or refund in respect of a Non-Qualified Refundable Tax Credit that is not recorded as a reduction to the current tax expense</t>
  </si>
  <si>
    <t>Note 3.2.4.2.a.3.g</t>
  </si>
  <si>
    <t>Any amount of Covered Taxes refunded or credited, except for any Qualified Refundable Tax Credit, to a Constituent Entity that was not treated as an adjustment to current tax expense in the financial accounts</t>
  </si>
  <si>
    <t>Amount of current tax expense with respect to uncertain tax positions</t>
  </si>
  <si>
    <t>Any amount of current tax expense that is not expected to be paid within three years of the last day of the Fiscal Year. There is no mechanism to include amounts paid after the expiration of the three-year period in Adjusted Covered Taxes</t>
  </si>
  <si>
    <t>Adjustments of Covered Taxes relating to prior years reported in amount per year</t>
  </si>
  <si>
    <t>The amount of deferred tax expense with respect to items excluded from the computation of GloBE Income or Loss under Chapter 3</t>
  </si>
  <si>
    <t>Note 3.2.4.2.a.3.n</t>
  </si>
  <si>
    <t>A Filing Constituent Entity may make an annual election with respect to a Constituent Entity that is subject to an Eligible Distribution Tax System to add the amount of Deemed Distribution Tax determined under Article 7.3.2 to Adjusted Covered Taxes for the Fiscal Year. An election under this Article shall apply to all Constituent Entities located in the jurisdiction.
The lesser of tax necessary to increase the ETR for the jurisdiction to the Minimum Rate or the amount of tax that would have been due if the CEs located in the jurisdiction had distributed all of their income that is subject to the Eligible Distribution Tax Regime during such year.</t>
  </si>
  <si>
    <t>A Filing Constituent Entity may elect for a Constituent Entity-owner that is not an Investment Entity to apply the Taxable Distribution Method with respect to its Ownership Interest in a Constituent Entity that is an Investment Entity if the Constituent Entity-owner can be reasonably expected to be subject to tax on distributions from the Investment Entity at a tax rate that equals or exceeds the Minimum Rate.</t>
  </si>
  <si>
    <t>DeferTaxAdjusAmt</t>
  </si>
  <si>
    <t>Note 3.2.4.2.a.3.p</t>
  </si>
  <si>
    <t>OCI tax impact relating to GloBE Income or Loss that is subject to local tax</t>
  </si>
  <si>
    <t>Note 3.2.4.2.a.4</t>
  </si>
  <si>
    <t>4. Adjusted Covered Taxes</t>
  </si>
  <si>
    <t>Note 3.2.4.2.b</t>
  </si>
  <si>
    <t>Note 3.2.4.2.b.1</t>
  </si>
  <si>
    <t>Note 3.2.4.2.b.2</t>
  </si>
  <si>
    <t>Note 3.2.4.2.b.3</t>
  </si>
  <si>
    <t>Note 3.2.4.2.b.4</t>
  </si>
  <si>
    <t>Note 3.2.4.2.b.5</t>
  </si>
  <si>
    <t>Note 3.2.4.2.b.6</t>
  </si>
  <si>
    <t>Note 3.2.4.2.b.7</t>
  </si>
  <si>
    <t>Note 3.2.4.2.c</t>
  </si>
  <si>
    <t>Note 3.2.4.2.c.1</t>
  </si>
  <si>
    <t>Note 3.2.4.2.c.2</t>
  </si>
  <si>
    <t>Note 3.2.4.2.c.3</t>
  </si>
  <si>
    <t>All Deferred Tax Amounts related to an item that was excluded from the calculation of Qualifying Income. These amounts have to be reversed.</t>
  </si>
  <si>
    <t>The impact of a valuation adjustment or accounting recognition adjustment with respect to a deferred tax asset</t>
  </si>
  <si>
    <t xml:space="preserve">Excludes the amount of deferred tax expense that results from a change in the applicable domestic tax rate. </t>
  </si>
  <si>
    <t>Excludes the deferred tax benefit with respect to the generation of tax credits as well as the deferred tax expense with respect to the use of tax credits.</t>
  </si>
  <si>
    <t>Article 4.4.1(e) shall not apply in the case of a Substitute Loss Carry-forward DTA. For this purpose, a Substitute Loss Carry-forward DTA arises where all of the following apply: a. the jurisdiction requires that foreign source income offset domestic source losses before foreign tax credits may be applied against tax imposed on foreign source income; b. the Constituent Entity has a domestic tax loss that is fully or partially offset by foreign source income; and c. the domestic tax regime allows foreign tax credits to be used to offset a tax liability in a subsequent year in relation to income that is included in the computation of the Constituent Entity’s GloBE Income or Loss.</t>
  </si>
  <si>
    <t>The first adjustment in paragraph (a) operates to take into account any Disallowed Accrual or Unclaimed Accrual that has been paid during the Fiscal Year</t>
  </si>
  <si>
    <t>Paragraph (b) permits the addition of Recaptured Deferred Tax Liabilities that have been paid during the Fiscal Year.</t>
  </si>
  <si>
    <t>Paragraph (c) provides for the generation of a deemed deferred tax asset when a deferred tax asset should have been generated but was not due to the recognition criteria not being met. This item reverses effect (deferred tax income) of the booking of new DTA for NOL that have previously not been booked because of a valuation allowance. As a result, deferred tax expense increases and ETR rises.</t>
  </si>
  <si>
    <t xml:space="preserve">Article 4.6.2 provides that when there is a reduction to the applicable domestic tax rate to a rate below the Minimum Rate, such reduction must be taken into account under the rules of Article 4.6.1. </t>
  </si>
  <si>
    <t xml:space="preserve">Article 4.6.3 provides the rule that is applicable when a deferred tax expense has been taken into account at a rate lower than the Minimum Rate and the applicable tax rate is subsequently increased. </t>
  </si>
  <si>
    <t>Article 4.4.3 provides that when a deferred tax asset has been recorded at a rate lower than the Minimum Rate that such asset may be recast at the Minimum Rate when the asset is attributable to a GloBE Loss</t>
  </si>
  <si>
    <t>Note 3.2.4.2.c.4</t>
  </si>
  <si>
    <t>Note 3.2.4.2.c.5</t>
  </si>
  <si>
    <t>Note 3.2.4.2.c.6</t>
  </si>
  <si>
    <t>Year</t>
  </si>
  <si>
    <t>Elections</t>
  </si>
  <si>
    <t>3.2.4.3 Constituent Entity elections (or elections that apply to a JV Group)</t>
  </si>
  <si>
    <t>1. Constituent Entities (or member of JV Group) for which an election is made (TIN)</t>
  </si>
  <si>
    <t xml:space="preserve">Art1.5.3 </t>
  </si>
  <si>
    <t>ElectionYear</t>
  </si>
  <si>
    <t>Election Year</t>
  </si>
  <si>
    <t>RevocationYear</t>
  </si>
  <si>
    <t>Revocation Year</t>
  </si>
  <si>
    <t>SimplCalculations</t>
  </si>
  <si>
    <t>A Non-material Constituent Entity is an Entity, including its Permanent Establishments, that is not consolidated on a line-by-line basis in the UPE’s Consolidated Financial Statements</t>
  </si>
  <si>
    <t>Art3.2.1</t>
  </si>
  <si>
    <t>b. Debt Release election (Article 3.2.1)(annual)(Boolean)</t>
  </si>
  <si>
    <t>Art3.2.1b</t>
  </si>
  <si>
    <t>Art3.2.1c</t>
  </si>
  <si>
    <t>Art6.3.4</t>
  </si>
  <si>
    <t>k. Fair value election (Article 6.3.4)</t>
  </si>
  <si>
    <t>FYTriggerEvent</t>
  </si>
  <si>
    <t>Fiscal Year of the triggering event</t>
  </si>
  <si>
    <t>Inclusion</t>
  </si>
  <si>
    <t>Art4.4.7</t>
  </si>
  <si>
    <t>Article 4.4.7 provides a compliance simplification option with respect to the Article 4.4.4 recapture rule. This article permits a Constituent Entity to exclude from the Total Deferred Tax Adjustment Amount any deferred tax liability that is not expected to be paid within the time period set forth in Article 4.4.4. This simplification allows for the exclusion of deferred tax liabilities that are almost certain to require recapture, which reduces compliance monitoring such liabilities and recalculating Top-up Tax several years later.</t>
  </si>
  <si>
    <t>Art4.5.6</t>
  </si>
  <si>
    <t>j. GloBE Loss Election (Article 4.5.6)</t>
  </si>
  <si>
    <t>Art7.5</t>
  </si>
  <si>
    <t>g. Investment entity tax transparency election (Article 7.5)</t>
  </si>
  <si>
    <t xml:space="preserve">Article 7.5.1 provides a Five-Year election to treat an Investment Entity or Insurance Investment
Entity as a Tax Transparent Entity. </t>
  </si>
  <si>
    <t>Art7.6</t>
  </si>
  <si>
    <t xml:space="preserve">Article 7.6 of the GloBE Rules provides a Five-Year Election to apply the Taxable Distribution Method. The election reduces the exposure to Top-up Tax to the extent that the Investment Entity makes distributions of its income within a four-year period. </t>
  </si>
  <si>
    <t>Note 3.2.4.6.1</t>
  </si>
  <si>
    <t>OtherFAS</t>
  </si>
  <si>
    <t>Note 3.2.4.6.2</t>
  </si>
  <si>
    <t>3.3 Top-up Tax computation</t>
  </si>
  <si>
    <t>ETRComputation</t>
  </si>
  <si>
    <t>TopUpTaxPercentage</t>
  </si>
  <si>
    <t>Note 3.3.1.a</t>
  </si>
  <si>
    <t>Substance Exclusion</t>
  </si>
  <si>
    <t>Note 3.3.1.b</t>
  </si>
  <si>
    <t>ExcessProfits</t>
  </si>
  <si>
    <t>Note 3.3.1.c.</t>
  </si>
  <si>
    <t>AdditionalTopUpTax</t>
  </si>
  <si>
    <t>Note 3.3.1.d</t>
  </si>
  <si>
    <t>QDMTT</t>
  </si>
  <si>
    <t>Note 3.3.1.e</t>
  </si>
  <si>
    <t>TopUpTax</t>
  </si>
  <si>
    <t>Note 3.3.1.f</t>
  </si>
  <si>
    <t>3.3.2 Computation of Substance-based Income Exclusion</t>
  </si>
  <si>
    <t>Note 3.3.2.1</t>
  </si>
  <si>
    <t>PayrollCost</t>
  </si>
  <si>
    <t>Note 3.3.2.1.1</t>
  </si>
  <si>
    <t>PayrollMarkUp</t>
  </si>
  <si>
    <t>Note 3.3.2.1.2</t>
  </si>
  <si>
    <t>TangibleAssetValue</t>
  </si>
  <si>
    <t>Note 3.3.2.1.3</t>
  </si>
  <si>
    <t>TangibleAssetMarkup</t>
  </si>
  <si>
    <t>Note 3.3.2.1.4</t>
  </si>
  <si>
    <t>SubstanceExclusion</t>
  </si>
  <si>
    <t>Note 3.3.2.1.5</t>
  </si>
  <si>
    <t>PEAllocation</t>
  </si>
  <si>
    <t>Note 3.3.2.2.1</t>
  </si>
  <si>
    <t>Eligible payroll costs include compensation expenditures (including including salaries, wages and other expenditures that provide a direct and separate personal benefit to the employee, such as health insurance, and pension contributions), payroll and employment taxes, employer social security contributions with respect to the employees</t>
  </si>
  <si>
    <t>Note 3.3.2.2.2</t>
  </si>
  <si>
    <t>Eligible tangible assets include property, plant, equipment located in that jurisdiction; natural resources located in that jurisdiction; a lesses right of use of tangible assets located in that jurisdiction; a license or similar arrangement from the government for the use of immovable property or exploitation of natural resources that entails significant investment in tangible assets. Tangible assets held for sale should not be included.</t>
  </si>
  <si>
    <t>JurOfOwners</t>
  </si>
  <si>
    <t>Note 3.3.2.2.3</t>
  </si>
  <si>
    <t>3. Jurisdiction of PEs</t>
  </si>
  <si>
    <t>Note 3.3.2.2.4</t>
  </si>
  <si>
    <t>Note 3.3.2.2.5</t>
  </si>
  <si>
    <t>FTEAllocation</t>
  </si>
  <si>
    <t>Note 3.3.2.3.1</t>
  </si>
  <si>
    <t>Note 3.3.2.3.2</t>
  </si>
  <si>
    <t>Note 3.3.2.3.3</t>
  </si>
  <si>
    <t>3. Jurisdiction of CE owners (or members of JV Group)</t>
  </si>
  <si>
    <t>Note 3.3.2.3.4</t>
  </si>
  <si>
    <t>4. Relevant Eligible Payroll Costs allocated to CE owner (or excluded)</t>
  </si>
  <si>
    <t>Note 3.3.2.3.5</t>
  </si>
  <si>
    <t>5. Carrying value of relevant Eligible Tangible Assets allocated to CE owner (or excluded)</t>
  </si>
  <si>
    <t>3.3.3 Additional Current Top-up Tax</t>
  </si>
  <si>
    <t>Articles</t>
  </si>
  <si>
    <t>ExessProfits</t>
  </si>
  <si>
    <t>Art4.1.5</t>
  </si>
  <si>
    <t>Additional Current Top-up Tax for purposes of Article 4.1.5. This table does not need to be completed if the MNE Group has a positive amount of Net GloBE Income in the jurisdiction.</t>
  </si>
  <si>
    <t>GlobeLoss</t>
  </si>
  <si>
    <t>ExpectedAdjustedCoveredTax</t>
  </si>
  <si>
    <t>3 GloBE Computations</t>
  </si>
  <si>
    <t>The Filing Constituent Entity shall complete Section 3 on a jurisdictional basis, for each jurisdiction (or subgroup, where relevant) where exceptions to the GloBE computation do not apply</t>
  </si>
  <si>
    <t>To be populated</t>
  </si>
  <si>
    <t>Please make sure that only the yellow marked cells are populated. Don't include or delete any other cell, row or column!</t>
  </si>
  <si>
    <t>13. Qualified Refundable Tax Credits or Marketable Transferable Tax Credits (tax expense)</t>
  </si>
  <si>
    <t>1. Name of the jurisdiction</t>
  </si>
  <si>
    <t>4. Jurisdictions with taxing rights</t>
  </si>
  <si>
    <t>5. ETR</t>
  </si>
  <si>
    <t>6. Adjusted Covered Taxes</t>
  </si>
  <si>
    <t>7. Net GloBE Income or Loss</t>
  </si>
  <si>
    <t>8. Substance-based Income Exclusion</t>
  </si>
  <si>
    <t>9. Additional Current Top-up Tax</t>
  </si>
  <si>
    <t>10.Top-up Tax amount under domestic legislation</t>
  </si>
  <si>
    <t>11. Elections</t>
  </si>
  <si>
    <t>12. Aggregate current tax expense with respect to Covered Taxes after allocations in Article 4.3</t>
  </si>
  <si>
    <t>14. Other tax credits (tax expense)</t>
  </si>
  <si>
    <t>15. Deferred tax expense amount</t>
  </si>
  <si>
    <t>16. Qualified Refundable Tax Credits or Marketable Transferable Tax Credits (income)</t>
  </si>
  <si>
    <t>17. Excess Negative Tax Expense Carry Forward</t>
  </si>
  <si>
    <t>18. Transition Rules</t>
  </si>
  <si>
    <t>b. Net GloBE Income or Loss [A]</t>
  </si>
  <si>
    <t>c. Income tax expense</t>
  </si>
  <si>
    <t>d. Adjusted Covered Taxes [B]</t>
  </si>
  <si>
    <t>e. ETR [C]=[B]/[A]</t>
  </si>
  <si>
    <t>References to GloBE Information Return (Pillar Two) XML Schema User Guide for Tax Administrations are in light clue</t>
  </si>
  <si>
    <t>XML references</t>
  </si>
  <si>
    <t>(a) Net Taxes Expense - Article 3.2.1 (a)</t>
  </si>
  <si>
    <t>(b) Excluded Dividends – Article 3.2.1 (b)</t>
  </si>
  <si>
    <t>(c) Excluded Equity Gain or Loss – Article 3.2.1 (c)</t>
  </si>
  <si>
    <t>(d) Included Revaluation Method Gain or Loss – Article 3.2.1 (d)</t>
  </si>
  <si>
    <t>(e) Gain or loss from disposition of assets and liabilities excluded under Article 6.3 – Article 3.2.1 (e)</t>
  </si>
  <si>
    <t>(f) Asymmetric Foreign Currency Gains or Losses – Article 3.2.1 (f)</t>
  </si>
  <si>
    <t>(g) Policy Disallowed Expenses – Article 3.2.1 (g)</t>
  </si>
  <si>
    <t>(h) Prior Period Errors – Article 3.2.1 (h)</t>
  </si>
  <si>
    <t>(i) Changes in Accounting Principles – Article 3.2.1(h)</t>
  </si>
  <si>
    <t>(j) Accrued Pension Expense – Article 3.2.1 (i)</t>
  </si>
  <si>
    <t>(k) Debt releases - Article 3.2.1</t>
  </si>
  <si>
    <t>(m) Arm’s length adjustments – Article 3.2.3</t>
  </si>
  <si>
    <t>(l) Stock-based compensation – Article 3.2.2</t>
  </si>
  <si>
    <t>(n) Qualified Refundable Tax Credit or Marketable Transferable Tax Credit – Article 3.2.4</t>
  </si>
  <si>
    <t>(o) Election for Gains and losses using realization principle – Article 3.2.5</t>
  </si>
  <si>
    <t>(p) Election for Adjusted Asset Gain – Article 3.2.6</t>
  </si>
  <si>
    <t>(q) Intragroup Financing Arrangement expense – Article 3.2.7</t>
  </si>
  <si>
    <t>(r) Election for intragroup transactions in same jurisdiction – Article 3.2.8</t>
  </si>
  <si>
    <t>(s) Insurance company taxes charged to policyholders – Article 3.2.9</t>
  </si>
  <si>
    <t>(t) Increase/decrease to equity attributed to Additional Tier One Capital distributions paid/payable or received/receivable – Article 3.2.10</t>
  </si>
  <si>
    <t>(u) Constituent Entities joining and leaving an MNE Group – Article 3.2.11 and 6.2</t>
  </si>
  <si>
    <t>(v) Reduction of GloBE Income of the UPE that is a Flow-through Entity – Article 3.2.11 and 7.1</t>
  </si>
  <si>
    <t>(w) Reduction of GloBE Income of the UPE that is subject to a Deductible Dividend Regime – Article 3.2.11 and 7.2</t>
  </si>
  <si>
    <t>(x) Taxable Distribution Method election – Article 3.2.11 and 7.6</t>
  </si>
  <si>
    <t>(y) International Shipping Income – Article 3.3.2</t>
  </si>
  <si>
    <t>(z) Transactions between Constituent Entities – Article 9.1.3</t>
  </si>
  <si>
    <t>Note 3.2.1.1.2b</t>
  </si>
  <si>
    <t>Note 3.2.1.1.2c</t>
  </si>
  <si>
    <t>Note 3.2.1.1.2a</t>
  </si>
  <si>
    <t>Note 3.2.1.1.2d</t>
  </si>
  <si>
    <t>Note 3.2.1.1.2e</t>
  </si>
  <si>
    <t>Note 3.2.1.1.2f</t>
  </si>
  <si>
    <t>Note 3.2.1.1.2g</t>
  </si>
  <si>
    <t>Note 3.2.1.1.2h</t>
  </si>
  <si>
    <t>Note 3.2.1.1.2i</t>
  </si>
  <si>
    <t>Note 3.2.1.1.2j</t>
  </si>
  <si>
    <t>Note 3.2.1.1.2k</t>
  </si>
  <si>
    <t>Note 3.2.1.1.2l</t>
  </si>
  <si>
    <t>Note 3.2.1.1.2m</t>
  </si>
  <si>
    <t>Note 3.2.1.1.2n</t>
  </si>
  <si>
    <t>Note 3.2.1.1.2o</t>
  </si>
  <si>
    <t>Note 3.2.1.1.2p</t>
  </si>
  <si>
    <t>Note 3.2.1.1.2q</t>
  </si>
  <si>
    <t>Note 3.2.1.1.2r</t>
  </si>
  <si>
    <t>Note 3.2.1.1.2s</t>
  </si>
  <si>
    <t>Note 3.2.1.1.2t</t>
  </si>
  <si>
    <t>Note 3.2.1.1.2u</t>
  </si>
  <si>
    <t>Note 3.2.1.1.2v</t>
  </si>
  <si>
    <t>Note 3.2.1.1.2w</t>
  </si>
  <si>
    <t>Note 3.2.1.1.2x</t>
  </si>
  <si>
    <t>Note 3.2.1.1.2y</t>
  </si>
  <si>
    <t>Note 3.2.1.1.2z</t>
  </si>
  <si>
    <t>Further explanations are in light green</t>
  </si>
  <si>
    <t>Further explanations</t>
  </si>
  <si>
    <t>3.3.1 Top-up Tax</t>
  </si>
  <si>
    <t>(a) Covered Tax accrued as an expense in the profit before taxation in the financial accounts - Article 4.1.2 (a)</t>
  </si>
  <si>
    <t>(b) GloBE Loss Deferred Tax Asset established under Article 4.5.1 or used – Article 4.1.2 (b) combined with Article 4.5.3</t>
  </si>
  <si>
    <t>(c) Covered Taxes for uncertain tax position recorded as a reduction to Covered Taxes in prior year – Article 4.1.2 (c)</t>
  </si>
  <si>
    <t>(d) Qualified Refundable Tax Credit or Marketable Transferable Tax Credits recorded as a reduction to current tax expense – Article 4.1.2 (d)</t>
  </si>
  <si>
    <t>(f) Current tax expense on income excluded from GloBE Income or Loss – Article 4.1.3 (a)</t>
  </si>
  <si>
    <t>(i) Current tax expense related to uncertain tax position– Article 4.1.3 (d)</t>
  </si>
  <si>
    <t>(g) Non-Qualified Refundable Tax Credit, Non-Marketable Transferable Tax Credit or Other Tax Credits not recorded as a reduction to current tax expense – Article 4.1.3 (b)</t>
  </si>
  <si>
    <t>(h) Covered Taxes refunded or credited (except for any Qualified Refundable Tax Credit, or Marketable Transferable Tax Credits) not treated as an adjustment to current tax expense – Article 4.1.3 (c)</t>
  </si>
  <si>
    <t>(j) Current tax expense not expected to be paid within three years – Article 4.1.3 (e)</t>
  </si>
  <si>
    <t>(k) Post-filing adjustments – Article 4.6.1</t>
  </si>
  <si>
    <t>(m) Covered Taxes for GloBE Income of the UPE that is reduced under a Deductible Dividend Regime – Article 7.2.2</t>
  </si>
  <si>
    <t>(l) Covered Taxes relating to Net Asset Gain or Net Asset Loss – Article 3.2.6</t>
  </si>
  <si>
    <t>(m) Reduction of Covered Taxes of the UPE that is a Flow-through Entity – Article 7.1</t>
  </si>
  <si>
    <t>(p) Taxable Distribution Method election – Article 7.6</t>
  </si>
  <si>
    <t>(q) Total Deferred Tax Adjustment Amount – Article 4.1.1(b)</t>
  </si>
  <si>
    <t>(r) Increase or decrease in Covered Taxes recorded in equity or Other Comprehensive Income relating to amounts included in GloBE Income or Loss that will be subject to tax under local tax rules – Article 4.1.1 (c)</t>
  </si>
  <si>
    <t>(s) Excess Negative Tax Expense Carry Forward generated – Article 4.1.5 and 5.2.1</t>
  </si>
  <si>
    <t>(t) Decrease in Covered Taxes (but not below zero) by the remaining balance of the Excess Negative Tax Expense Carry-forward – Article 4.1.5 and 5.2.1</t>
  </si>
  <si>
    <t>Note 3.2.1.2.a.2.a</t>
  </si>
  <si>
    <t>Note 3.2.1.2.a.2.b</t>
  </si>
  <si>
    <t>Note 3.2.1.2.a.2.c</t>
  </si>
  <si>
    <t>Note 3.2.1.2.a.2.e</t>
  </si>
  <si>
    <t>Note 3.2.1.2.a.2.f</t>
  </si>
  <si>
    <t>Note 3.2.1.2.a.2.i</t>
  </si>
  <si>
    <t>Note 3.2.1.2.a.2.j</t>
  </si>
  <si>
    <t>Note 3.2.1.2.a.2.k</t>
  </si>
  <si>
    <t>Note 3.2.1.2.a.2.l</t>
  </si>
  <si>
    <t>Note 3.2.1.2.a.2.m</t>
  </si>
  <si>
    <t>Note 3.2.1.2.a.2.n</t>
  </si>
  <si>
    <t>Note 3.2.1.2.a.2.o</t>
  </si>
  <si>
    <t>Note 3.2.1.2.a.2.p</t>
  </si>
  <si>
    <t>Note 3.2.1.2.a.2.q</t>
  </si>
  <si>
    <t>Note 3.2.1.2.a.2.r</t>
  </si>
  <si>
    <t>(e) Qualified Flow-through Tax Benefits of Qualified Ownership Interests – Article 3.2.1 (c)</t>
  </si>
  <si>
    <t>(o) Deemed Distribution Tax– Article 7.3</t>
  </si>
  <si>
    <t>(b) Excess Negative Tax Expense Carry-forward</t>
  </si>
  <si>
    <t>1. Balance from prior years [A]</t>
  </si>
  <si>
    <t>2. Excess Negative Tax Expense Carry-forward generated in the reporting fiscal year [B]</t>
  </si>
  <si>
    <t>3. Excess Negative Tax Expense Carry-forward utilized for the reporting fiscal year [C]</t>
  </si>
  <si>
    <t>4. Excess Negative Tax Expense Carry-forward remaining for subsequent years [D]=[A]+[B]-[C]</t>
  </si>
  <si>
    <t>(c) Transitional Blended CFC Regime calculation (if any)</t>
  </si>
  <si>
    <t>3.2.2.1 Deferred Tax adjustments</t>
  </si>
  <si>
    <t>1. Deferred tax expense for GloBE purposes before recasting and adjustments</t>
  </si>
  <si>
    <t>a. Deferred tax expense in the financial accounts [A]</t>
  </si>
  <si>
    <t>b. Deferred tax expense in relation to assets or liabilities for which the GloBE carrying value is different to the accounting carrying value [B]</t>
  </si>
  <si>
    <t>c. Deferred tax expense based on the GloBE carrying value of assets or liabilities [C]</t>
  </si>
  <si>
    <t>d. Deferred tax expense for GloBE purposes before recasting and adjustments [D]=[A]-[B]+[C]</t>
  </si>
  <si>
    <t>2. Total amount of adjustments [E]</t>
  </si>
  <si>
    <t>e. Deferred Tax expense for GloBE purposes before recasting [F]=[D]+[E]</t>
  </si>
  <si>
    <t>f. Difference between deferred tax expense recorded at a lower tax rate than the Minimum Rate and recast at Minimum Rate [G]</t>
  </si>
  <si>
    <t xml:space="preserve">g. Difference between the deferred tax expense recorded at a higher tax rate than the Minimum Rate and recast at Minimum Rate [H] </t>
  </si>
  <si>
    <t>4. Total Deferred Tax Adjustment Amount [I]=[F]+[G]-[H]</t>
  </si>
  <si>
    <t>3. Recasting the deferred tax expense to the Minimum Rate</t>
  </si>
  <si>
    <t>(a) Deferred tax expense related to items excluded from GloBE Income or Loss – Article 4.4.1 (a)</t>
  </si>
  <si>
    <t>(d) Valuation adjustment or accounting recognition adjustment related to a deferred tax asset – Article 4.4.1 (c)</t>
  </si>
  <si>
    <t>(e) Deferred tax expense arising from a re-measurement related to changes in the tax rate – Article 4.4.1 (d)</t>
  </si>
  <si>
    <t>(f) Deferred tax expense related to the generation and use of tax credits – Article 4.4.1 (e)</t>
  </si>
  <si>
    <t>(g) Substitute Loss Carry Forward DTA or deemed Substitute Loss Carry Forward DTA – Article 4.4.1 (e)</t>
  </si>
  <si>
    <t>(h) Disallowed Accruals or Unclaimed Accruals paid during the fiscal year – Article 4.4.2 (a)</t>
  </si>
  <si>
    <t>(i) Recapture Deferred Tax Liability paid during the fiscal year– Article 4.4.2 (b)</t>
  </si>
  <si>
    <t>(j) Recognition of a loss Deferred Tax Asset not included in the financials – Article 4.4.2 (c)</t>
  </si>
  <si>
    <t>(m) Constituent Entities joining and leaving an MNE Group – Article 6.2</t>
  </si>
  <si>
    <t>(n) Deferred tax expense of the UPE that is a Flow-through Entity – Article 7.1</t>
  </si>
  <si>
    <t>(o) Deferred tax expense of the UPE that is subject to Deductible Dividend Regime – Article 7.2</t>
  </si>
  <si>
    <t>(p) Deferred tax adjustment resulting from transactions between Constituent Entities – Article 9.1.3</t>
  </si>
  <si>
    <t>(b) Deferred tax expense related to Disallowed Accruals– Article 4.4.1 (b)</t>
  </si>
  <si>
    <t>(c) Deferred tax expense related to Unclaimed Accruals – Article 4.4.1 (b)</t>
  </si>
  <si>
    <t>(k) Deferred tax expense adjustment resulting from a reduction to a tax rate – Article 4.6.2</t>
  </si>
  <si>
    <t>(l) Deferred tax expense adjustment resulting from an increase to a tax rate – Article 4.6.3</t>
  </si>
  <si>
    <t>2. Total amount of the adjustments [E]</t>
  </si>
  <si>
    <t>Note 3.2.2.1.b.1.a</t>
  </si>
  <si>
    <t>Note 3.2.2.1.b.1.b</t>
  </si>
  <si>
    <t>Note 3.2.2.1.b.1.c</t>
  </si>
  <si>
    <t>Note 3.2.2.1.b.1.d</t>
  </si>
  <si>
    <t>Note 3.2.2.1.b.1.e</t>
  </si>
  <si>
    <t>Note 3.2.2.1.b.1.n</t>
  </si>
  <si>
    <t>Note 3.2.2.1.b.1.h</t>
  </si>
  <si>
    <t>Note 3.2.2.1.b.1.i</t>
  </si>
  <si>
    <t>Note 3.2.2.1.b.1.j</t>
  </si>
  <si>
    <t>Note 3.2.2.1.b.1.k</t>
  </si>
  <si>
    <t>Note 3.2.2.1.b.1.l</t>
  </si>
  <si>
    <t>Note 3.2.2.1.b.1.m</t>
  </si>
  <si>
    <t>Note 3.2.2.1.b.1.o</t>
  </si>
  <si>
    <t>1. Deemed deferred tax assets attributable to loss carry backs</t>
  </si>
  <si>
    <t>2. Covered Tax refund relating to loss carry backs</t>
  </si>
  <si>
    <t>(a) Application of Article 9.1.1 and 9.1.2.</t>
  </si>
  <si>
    <t>1.  Deferred tax liabilities at the beginning of the Transition Year</t>
  </si>
  <si>
    <t>1. Transition Year</t>
  </si>
  <si>
    <t>3. Deferred tax assets at the beginning of the Transition Year [A]</t>
  </si>
  <si>
    <t>4. Deferred tax assets recast at the Minimum Rate (if applicable) [B]</t>
  </si>
  <si>
    <t>5. Deferred tax assets arising from excluded items under Article 9.1.2 [C]</t>
  </si>
  <si>
    <t>6. Deferred tax assets taken into account for GloBE purposes [D] = [ [A] or [B], if applicable] - [C]</t>
  </si>
  <si>
    <t>1. Jurisdiction of the disposing entities</t>
  </si>
  <si>
    <t>2. Tax paid in respect of the transaction(s)</t>
  </si>
  <si>
    <t>3. Net Deferred tax asset or liability reflected in the financial accounts of the disposing CE(s)</t>
  </si>
  <si>
    <t>4. Carrying Value of the transferred assets for GloBE purposes</t>
  </si>
  <si>
    <t>5. Net Deferred tax asset or liability is determined with respect to the transferred assets for GloBE purposes for acquiring CE(s)</t>
  </si>
  <si>
    <t>3.2.3.1 Jurisdictional elections (other than Article 7.3.1)</t>
  </si>
  <si>
    <t>1. Annual elections</t>
  </si>
  <si>
    <t>Note 3.2.3.1.a.1.a</t>
  </si>
  <si>
    <t>Note 3.2.3.1.a.1.b</t>
  </si>
  <si>
    <t>Note 3.2.3.1.a.1.d</t>
  </si>
  <si>
    <r>
      <rPr>
        <sz val="12"/>
        <color rgb="FF3E3E3E"/>
        <rFont val="Arial"/>
        <family val="2"/>
      </rPr>
      <t xml:space="preserve">a. </t>
    </r>
    <r>
      <rPr>
        <sz val="12"/>
        <rFont val="Arial"/>
        <family val="2"/>
      </rPr>
      <t>Aggregate asset gain election (Article 3.2.6)</t>
    </r>
  </si>
  <si>
    <r>
      <rPr>
        <sz val="12"/>
        <color rgb="FF3E3E3E"/>
        <rFont val="Arial"/>
        <family val="2"/>
      </rPr>
      <t xml:space="preserve">b. </t>
    </r>
    <r>
      <rPr>
        <sz val="12"/>
        <rFont val="Arial"/>
        <family val="2"/>
      </rPr>
      <t>Immaterial decrease in Covered Taxes election (Article 4.6.1)</t>
    </r>
  </si>
  <si>
    <r>
      <rPr>
        <sz val="12"/>
        <color rgb="FF3E3E3E"/>
        <rFont val="Arial"/>
        <family val="2"/>
      </rPr>
      <t xml:space="preserve">c. </t>
    </r>
    <r>
      <rPr>
        <sz val="12"/>
        <rFont val="Arial"/>
        <family val="2"/>
      </rPr>
      <t>Election not to apply the Substance-based Income Exclusion (Article 5.3.1)</t>
    </r>
  </si>
  <si>
    <r>
      <rPr>
        <sz val="12"/>
        <color rgb="FF3E3E3E"/>
        <rFont val="Arial"/>
        <family val="2"/>
      </rPr>
      <t xml:space="preserve">d. </t>
    </r>
    <r>
      <rPr>
        <sz val="12"/>
        <rFont val="Arial"/>
        <family val="2"/>
      </rPr>
      <t>Negative Tax Expense Carry-forward (Article 4.1.5)</t>
    </r>
  </si>
  <si>
    <t>please indicate the correpsonding jurisdiction or otherwise notice n/a</t>
  </si>
  <si>
    <t>Please indicate the CFC Jurisdiction if applicable</t>
  </si>
  <si>
    <t>Please indicate Subgroup if applicable</t>
  </si>
  <si>
    <t>please indicate yes or no</t>
  </si>
  <si>
    <t>yes</t>
  </si>
  <si>
    <t>no</t>
  </si>
  <si>
    <t>2. Type of subgroup (if any) - mention "n/a" if no subgroup exists</t>
  </si>
  <si>
    <t>3. Identification of subgroup (if any) for the ETR and Top-up Tax computation - mention "n/a" if no subgroup exists</t>
  </si>
  <si>
    <t>e. Equity Investment Inclusion Election (Article 3.2.1(c))</t>
  </si>
  <si>
    <t>f. Stock-based compensation election (Article 3.2.2)</t>
  </si>
  <si>
    <t>g. Realization principle election (Article 3.2.5)</t>
  </si>
  <si>
    <t>h. Intra-group transactions election (Article 3.2.8)</t>
  </si>
  <si>
    <t>i. Election not to allocate cross-border deferred tax</t>
  </si>
  <si>
    <t>5. Other elections</t>
  </si>
  <si>
    <t>6. Election Year</t>
  </si>
  <si>
    <t>7. Revocation Year</t>
  </si>
  <si>
    <t>Please indicate the year if applicable, mention "n/a" if not applicable</t>
  </si>
  <si>
    <t>j. GloBE Loss Election (Article 4.5)</t>
  </si>
  <si>
    <t>1. Inclusion of equity gain or loss with respect to an Equity Investment Inclusion Election</t>
  </si>
  <si>
    <t>2. Balance of the owner’s investment in a Qualified Ownership Interest from prior years [A]</t>
  </si>
  <si>
    <t>5. Outstanding balance of the owner’s investment in a Qualified Ownership Interest [D]=[A]+[B]-[C]</t>
  </si>
  <si>
    <t>3. Additions to the owner’s investment in a Qualified Ownership Interest [B]</t>
  </si>
  <si>
    <t>4. Reductions to the owner’s investment in a Qualified Ownership Interest [C]</t>
  </si>
  <si>
    <t>2. Deemed Distribution Tax determined under Article 7.3.2</t>
  </si>
  <si>
    <t xml:space="preserve">3. Deemed Distribution Tax paid or used </t>
  </si>
  <si>
    <t>4. Outstanding balance of a Deemed Distribution Tax Recapture Account</t>
  </si>
  <si>
    <t>1. Reduction to the Adjusted Covered Taxes for a prior Fiscal Year [A]</t>
  </si>
  <si>
    <t>2. Incremental Top-up tax [B]</t>
  </si>
  <si>
    <t>3. Disposition Recapture Ratio [C]</t>
  </si>
  <si>
    <t>please indicate , mention "n/a" if not applicable</t>
  </si>
  <si>
    <t>(a) Adjustments to the Financial Accounts Net Income or Loss</t>
  </si>
  <si>
    <t>Total amount</t>
  </si>
  <si>
    <t>Note 3.2.4.1.a.3.a</t>
  </si>
  <si>
    <t>Note 3.2.4.1.a.3.b</t>
  </si>
  <si>
    <t>Note 3.2.4.1.a.3.c</t>
  </si>
  <si>
    <t>Note 3.2.4.1.a.3.d</t>
  </si>
  <si>
    <t>Note 3.2.4.1.a.3.f</t>
  </si>
  <si>
    <t>Note 3.2.4.1.a.3.g</t>
  </si>
  <si>
    <t>Note 3.2.4.1.a.3.h</t>
  </si>
  <si>
    <t>Note 3.2.4.1.a.3.i</t>
  </si>
  <si>
    <t>Note 3.2.4.1.a.3.j</t>
  </si>
  <si>
    <t>Note 3.2.4.1.a.3.k</t>
  </si>
  <si>
    <t>Note 3.2.4.1.a.3.l</t>
  </si>
  <si>
    <t>Note 3.2.4.1.a.3.o</t>
  </si>
  <si>
    <t>Note 3.2.4.1.a.3.p</t>
  </si>
  <si>
    <t>Note 3.2.4.1.a.3.q</t>
  </si>
  <si>
    <t>Note 3.2.4.1.a.3.r</t>
  </si>
  <si>
    <t>Note 3.2.4.1.a.3.s</t>
  </si>
  <si>
    <t>Note 3.2.4.1.a.3.t</t>
  </si>
  <si>
    <t>Note 3.2.4.1.a.3.w</t>
  </si>
  <si>
    <t>Note 3.2.4.1.a.3.x</t>
  </si>
  <si>
    <t>Note 3.2.4.1.a.3.y</t>
  </si>
  <si>
    <t>3. Adjustments (Additions or Reductions)</t>
  </si>
  <si>
    <t>(n) Qualified Refundable Tax Credit or Marketable Transferable Tax Credits – Article 3.2.4</t>
  </si>
  <si>
    <t>(y) International Shipping Income – Article 3.3</t>
  </si>
  <si>
    <t>2. FANIL before the adjustment</t>
  </si>
  <si>
    <t>4. Other CE or member of JV Group (TIN)</t>
  </si>
  <si>
    <t>5. Jurisdiction of other CE or member of JV Group (ISO)</t>
  </si>
  <si>
    <t>6. Additions to this CE</t>
  </si>
  <si>
    <t>7. Reductions to this CE</t>
  </si>
  <si>
    <t>8. FANIL after the adjustment</t>
  </si>
  <si>
    <t>(c) Cross-border adjustments</t>
  </si>
  <si>
    <t>1. CE or members of JV Group (TIN)</t>
  </si>
  <si>
    <t>2. Basis for the adjustment</t>
  </si>
  <si>
    <t>4. Jurisdiction of other CE (ISO)</t>
  </si>
  <si>
    <t>3. Basis for the adjustment</t>
  </si>
  <si>
    <t>5. Additions to this CE</t>
  </si>
  <si>
    <t>6. Reductions to this CE</t>
  </si>
  <si>
    <t>1. CE or members of JV Groups located in this jurisdiction or stateless CE (TIN)</t>
  </si>
  <si>
    <t>Identify respective constiuent entity</t>
  </si>
  <si>
    <t>Ownership percentage (in %)</t>
  </si>
  <si>
    <t>Identify respective jurisdiction</t>
  </si>
  <si>
    <t>Note 3.2.4.2.a.3</t>
  </si>
  <si>
    <t>Note 3.2.4.2.a.3.a</t>
  </si>
  <si>
    <t>Note 3.2.4.2.a.3.b</t>
  </si>
  <si>
    <t>Note 3.2.4.2.a.3.d</t>
  </si>
  <si>
    <t>Note 3.2.4.2.a.3.e</t>
  </si>
  <si>
    <t>Note 3.2.4.2.a.3.h</t>
  </si>
  <si>
    <t>Note 3.2.4.2.a.3.i</t>
  </si>
  <si>
    <t>Note 3.2.4.2.a.3.j</t>
  </si>
  <si>
    <t>Note 3.2.4.2.a.3.k</t>
  </si>
  <si>
    <t>Note 3.2.4.2.a.3.l</t>
  </si>
  <si>
    <t>Note 3.2.4.2.a.3.m</t>
  </si>
  <si>
    <t>Note 3.2.4.2.a.3.o</t>
  </si>
  <si>
    <t>Note 3.2.4.2.a.3.q</t>
  </si>
  <si>
    <t>(b) Covered Taxes for uncertain tax position recorded as a reduction to Covered Taxes in prior year – Article 4.1.2 ©</t>
  </si>
  <si>
    <t>(c) Qualified Refundable Tax Credit or Marketable Transferable Tax Credits recorded as a reduction to current tax expense – Article 4.1.2 (d)</t>
  </si>
  <si>
    <t>(e) Current tax expense on income excluded from GloBE Income or Loss – Article 4.1.3 (a)</t>
  </si>
  <si>
    <t>(f) Non-Qualified Refundable Tax Credit Non-Marketable Transferable Tax Credits or Other Tax Credits not recorded as a reduction to current tax expense – Article 4.1.3 (b)</t>
  </si>
  <si>
    <t xml:space="preserve">(d) Qualified Flow-through Tax Benefits of Qualified Ownership Interests – Article 3.2.1 (c) </t>
  </si>
  <si>
    <t xml:space="preserve">(g) Covered Taxes refunded or credited (except for any Qualified Refundable Tax Credit, or Marketable Transferable Tax Credits) not treated as an adjustment to current tax expense – Article 4.1.3 (c) </t>
  </si>
  <si>
    <t>(h) Current tax expense related to uncertain tax position– Article 4.1.3 (d)</t>
  </si>
  <si>
    <t>(i) Current tax expense not expected to be paid within three years – Article 4.1.3 (e)</t>
  </si>
  <si>
    <t>(j) Post-filing adjustments – Article 4.6.1</t>
  </si>
  <si>
    <t>(k) Covered Taxes relating to Net Asset Gain or Net Asset Loss – Article 3.2.6</t>
  </si>
  <si>
    <t>(l) Reduction of Covered Taxes of the UPE that is a Flow-through Entity – Article 7.1</t>
  </si>
  <si>
    <t>(n) Deemed Distribution Tax – Article 7.3</t>
  </si>
  <si>
    <t>(o) Taxable Distribution Method election – Article 7.6.2(b)</t>
  </si>
  <si>
    <t>(p) Total Deferred Tax Adjustment Amount – Article 4.1.1(b)</t>
  </si>
  <si>
    <t xml:space="preserve">(q) Increase or decrease in Covered Taxes recorded in equity or Other Comprehensive Income relating to amounts included in GloBE Income or Loss that will be subject to tax under local tax rules – Article 4.1.1 (c) </t>
  </si>
  <si>
    <t>(b)  Cross allocation of taxes</t>
  </si>
  <si>
    <t>2. Covered Taxes of the CE (or member of JV Group) before the adjustment</t>
  </si>
  <si>
    <t>8. Covered Taxes of the CE (or member of JV Group) after the adjustment</t>
  </si>
  <si>
    <t>Exclude deferred tax expense that relates to Disallowed Accruals and Unclaimed Accruals from the Total Deferred Tax Adjustment Amount.</t>
  </si>
  <si>
    <t>Note 3.2.4.2.c.3.a</t>
  </si>
  <si>
    <t>Note 3.2.4.2.c.3.b</t>
  </si>
  <si>
    <t>Note 3.2.4.2.c.3.c</t>
  </si>
  <si>
    <t>Note 3.2.4.2.c.3.d</t>
  </si>
  <si>
    <t>Note 3.2.4.2.c.3.e</t>
  </si>
  <si>
    <t>Note 3.2.4.2.c.3.f</t>
  </si>
  <si>
    <t>Note 3.2.4.2.c.3.g</t>
  </si>
  <si>
    <t>Note 3.2.4.2.c.3.h</t>
  </si>
  <si>
    <t>Note 3.2.4.2.c.3.i</t>
  </si>
  <si>
    <t>Note 3.2.4.2.c.3.j</t>
  </si>
  <si>
    <t>Note 3.2.4.2.c.3.k</t>
  </si>
  <si>
    <t>Note 3.2.4.2.c.3.l</t>
  </si>
  <si>
    <t>Note 3.2.4.2.c.3.m</t>
  </si>
  <si>
    <t>Note 3.2.4.2.c.3.n</t>
  </si>
  <si>
    <t>Note 3.2.4.2.c.3.o</t>
  </si>
  <si>
    <t>Note 3.2.4.2.c.3.p</t>
  </si>
  <si>
    <t>2. Deferred tax expense amount for GloBE purposes</t>
  </si>
  <si>
    <t>3. Adjustments to deferred tax expense</t>
  </si>
  <si>
    <t>3. Total Adjusted Deferred Tax</t>
  </si>
  <si>
    <t>4. Difference between deferred tax expense recorded at a lower tax rate than the Minimum Rate and recast at Minimum Rate</t>
  </si>
  <si>
    <t>6. Total Deferred Tax Adjustment Amount</t>
  </si>
  <si>
    <t>5. Difference between the deferred tax expense recorded at a higher tax rate than the Minimum Rate and recast at Minimum Rate</t>
  </si>
  <si>
    <t>3.2.4.4 International shipping income exclusion</t>
  </si>
  <si>
    <t>(a) International shipping income exclusion</t>
  </si>
  <si>
    <t>International shipping income</t>
  </si>
  <si>
    <t>2. Category</t>
  </si>
  <si>
    <t>3. Revenue [A]</t>
  </si>
  <si>
    <t>4. Costs [B]</t>
  </si>
  <si>
    <t>5. International Shipping Income [C]=[A]-[B]</t>
  </si>
  <si>
    <t>Qualified Ancillary International Shipping Income</t>
  </si>
  <si>
    <t>6. Category</t>
  </si>
  <si>
    <t>7. Revenue [D]</t>
  </si>
  <si>
    <t>8. Costs [E]</t>
  </si>
  <si>
    <t>9. Qualified Ancillary International Shipping Income [F]=[D]-[E]</t>
  </si>
  <si>
    <t>Effect on substance-based income exclusion</t>
  </si>
  <si>
    <t>10. Payroll costs attributable to the excluded International Shipping Income or Qualified Ancillary International Shipping Income</t>
  </si>
  <si>
    <t>11. Carrying value of tangible assets used in the generation of the excluded International Shipping Income or Qualified Ancillary International Shipping Income</t>
  </si>
  <si>
    <t>Covered taxes</t>
  </si>
  <si>
    <t>12. Covered taxes attributable to the excluded International Shipping Income or Qualified Ancillary International Shipping Income</t>
  </si>
  <si>
    <t>Indicate category</t>
  </si>
  <si>
    <t>(b) Jurisdictional cap for the qualified ancillary international shipping income exclusion</t>
  </si>
  <si>
    <t>1. Total International Shipping Income for all CEs (or members of JV Group) [A]</t>
  </si>
  <si>
    <t>2. 50% cap 50% x [A]</t>
  </si>
  <si>
    <t>3. Total Qualified Ancillary International Shipping Income for all CEs (or members of JV Group) [B]</t>
  </si>
  <si>
    <t>4. Excess of the cap if B exceeds 50% of A [B]-50%x[A]</t>
  </si>
  <si>
    <t>3.2.4.5 Information for purposes of Article 7.6 (if applicable)</t>
  </si>
  <si>
    <t>Taxable Distribution Method Election</t>
  </si>
  <si>
    <t>2. Investment Entity forwhich the election is made (TIN)</t>
  </si>
  <si>
    <t>3. Actual and deemed distributions of the Investment Entity’s GloBE Income received by the Constituent Entity-owner</t>
  </si>
  <si>
    <t>1. Constituent Entity-owner (or member of JVGroup) for which an election is made (TIN)</t>
  </si>
  <si>
    <t>4. Local Creditable Tax Gross-up incurred by the Investment Entity</t>
  </si>
  <si>
    <t>5. Constituent Entity-owner’sproportionate share of the Investment Entity’s Undistributed Net GloBE Income</t>
  </si>
  <si>
    <t>Indicate Constituent Entity-owner</t>
  </si>
  <si>
    <t>Indicate Investment Entity</t>
  </si>
  <si>
    <t>Indicate Constituent Entity-owner's share</t>
  </si>
  <si>
    <t>3.2.4.6 Other Accounting Standard</t>
  </si>
  <si>
    <t xml:space="preserve">1. Constituent Entity (or member of JV Group) with FANIL based on a different accounting standard (TIN) </t>
  </si>
  <si>
    <t>2. Acceptable or Authorised Financial Accounting Standard</t>
  </si>
  <si>
    <t>Indicate if applicable</t>
  </si>
  <si>
    <t>(c)  Deferred tax expense</t>
  </si>
  <si>
    <t>2. Annual Elections</t>
  </si>
  <si>
    <t>a. Election to apply the Simplified Calculations for NMCEs (Simplified Calculations Safe Harbour)</t>
  </si>
  <si>
    <t>c. Unclaimed Accrual Election (Article 4.4.7)</t>
  </si>
  <si>
    <t>3. Five-Year Elections</t>
  </si>
  <si>
    <t>d. Not treating an Entity as an Excluded Entity election (Article 1.5.3)</t>
  </si>
  <si>
    <t>e. Inclusion of all dividends with respect to Portfolio Shareholdings (Article 3.2.1(b)</t>
  </si>
  <si>
    <t>i. Unclaimed Accrual Election (Article 4.4.7) (Five-Year Election)</t>
  </si>
  <si>
    <t>f. Treating foreign exchange gains or losses attributable to hedging as an Excluded Equity Gain or Loss (Article 3.2.1©</t>
  </si>
  <si>
    <t>h. Taxable distribution method election (Article 7.6)</t>
  </si>
  <si>
    <t>3. Inclusion in the Fiscal Year of the triggering event as provided under Article 6.3.4 (c) (i) or 5-year inclusion (as provided under Article 6.3.4 (c) (ii))</t>
  </si>
  <si>
    <t>please indicate Election Year</t>
  </si>
  <si>
    <t>please indicate Revocation Year</t>
  </si>
  <si>
    <t>please indicate fiscal year of the triggering event</t>
  </si>
  <si>
    <t>a. Top-up Tax Percentage [A]=15% - ETR</t>
  </si>
  <si>
    <t>b. Substance-based Income Exclusion [B]</t>
  </si>
  <si>
    <t>c. Excess Profits [C] = Net GloBE Income or Loss - [B]</t>
  </si>
  <si>
    <t>d. Additional Current Top-up Tax [D]</t>
  </si>
  <si>
    <t>e. QDMTT payable [E]</t>
  </si>
  <si>
    <t>f. Top-up Tax [A]x[C]+[D]-[E]</t>
  </si>
  <si>
    <t>1. Relevant Eligible Payroll Costs of Eligible Employees performing activities in the jurisdiction [A]</t>
  </si>
  <si>
    <t>2. Application of relevant mark-up percentage for the Reporting Fiscal Year [B]</t>
  </si>
  <si>
    <t>3. Carrying value of relevant Eligible Tangible Assets located in the jurisdiction [C]</t>
  </si>
  <si>
    <t>4. Application of relevant mark-up percentage for the Reporting Fiscal Year [D]</t>
  </si>
  <si>
    <t>5. Substance-based Income Exclusion [E]=[A]x[B]+[C]x[D]</t>
  </si>
  <si>
    <t>3.3.2.1 Total amount of the Substance Based Income Exclusion</t>
  </si>
  <si>
    <t>3.3.2.2 Allocation of Eligible Payroll Costs and carrying value of Eligible Tangible Assets to Permanent Establishments for purposes of the Substance Based Income Exclusion</t>
  </si>
  <si>
    <t>Payroll carve-out</t>
  </si>
  <si>
    <t>Tangible Assetes carve-out</t>
  </si>
  <si>
    <t>5. Carrying value of relevant Eligible Tangible Assets allocated to PEs</t>
  </si>
  <si>
    <t>1. Total Relevant Eligible Payroll Costs</t>
  </si>
  <si>
    <t>2. Total Carrying value of relevant Eligible Tangible Assets</t>
  </si>
  <si>
    <t>Indicate Jurisdiction of PEs</t>
  </si>
  <si>
    <t>4. Relevant Eligible Payroll Costs allocated to PEs</t>
  </si>
  <si>
    <t>3.3.2.3 Allocation of Eligible Payroll Costs and carrying value of Eligible Tangible Assets of a Flow-through Entity for purposes of the Substance Based Income Exclusion</t>
  </si>
  <si>
    <t>Total amounts</t>
  </si>
  <si>
    <t>Indicate Jurisdiction</t>
  </si>
  <si>
    <t>3.3.3.1 Additional Current Top-up Tax for purposes other than Article 4.1.5</t>
  </si>
  <si>
    <t xml:space="preserve">1. Relevant Articles </t>
  </si>
  <si>
    <t>2. Relevant Year</t>
  </si>
  <si>
    <t>3. As previously reported or recalculated</t>
  </si>
  <si>
    <t>a. Previously Reported</t>
  </si>
  <si>
    <t>b. Recalculated</t>
  </si>
  <si>
    <t>4. Net GloBE Income/Loss</t>
  </si>
  <si>
    <t>5. Adjusted Covered Taxes</t>
  </si>
  <si>
    <t>6. ETR</t>
  </si>
  <si>
    <t>7. Excess Profit</t>
  </si>
  <si>
    <t>8. Top-up Tax Percentage</t>
  </si>
  <si>
    <t>9. Top-up Tax</t>
  </si>
  <si>
    <t>10. Additional Current Top-up Tax</t>
  </si>
  <si>
    <t>3.3.3.2 Additional Current Top-up Tax for purposes of Article 4.1.5</t>
  </si>
  <si>
    <t>1. Adjusted Covered Taxes for the jurisdiction (if negative) [A]</t>
  </si>
  <si>
    <t>2. GloBE Loss for the Jurisdiction [B]</t>
  </si>
  <si>
    <t>3. Expected Adjusted Covered Taxes [C]=[B]×15%</t>
  </si>
  <si>
    <t>4. Additional Current Top-up Tax [D]=[C]-[A]</t>
  </si>
  <si>
    <t>3.3.4 QDMTT</t>
  </si>
  <si>
    <t>a. Currency</t>
  </si>
  <si>
    <t>b. Election Year</t>
  </si>
  <si>
    <t>c. Revocation Year</t>
  </si>
  <si>
    <t>1. Financial Accounting Standard</t>
  </si>
  <si>
    <t>2. QDMTT amount payable</t>
  </si>
  <si>
    <t>3. QDMTT Minimum Rate (if higher than 15%)</t>
  </si>
  <si>
    <t>4. Basis for the blending of income and taxes (if different from the GloBE Rules)</t>
  </si>
  <si>
    <t>5. Currency used (if different from CFS presentation currency)</t>
  </si>
  <si>
    <t>6. Five-year election to use the CFS presentation currency or the local currency</t>
  </si>
  <si>
    <t>7. SBIE available?</t>
  </si>
  <si>
    <t>8. De-minimis available?</t>
  </si>
  <si>
    <t>3.4 Top-up Tax allocation and attribution</t>
  </si>
  <si>
    <t>3.4.1 Application of the IIR in respect of this jurisdiction</t>
  </si>
  <si>
    <t>1. Group Entity allocated Top-up Tax</t>
  </si>
  <si>
    <t>2. Parent Entities required to apply a QIIR</t>
  </si>
  <si>
    <t>3. IIR Top-up Tax</t>
  </si>
  <si>
    <t>a. LTCE or member of JV Group (TIN)</t>
  </si>
  <si>
    <t>b. GloBE Income of the LTCE or member of JV Group [A]</t>
  </si>
  <si>
    <t>c. Top-up Tax of the Low-Taxed CE or the member of the JV Group [C] = [T] x [A]/[A+B+etc]</t>
  </si>
  <si>
    <t>a. Parent Entity (TIN)</t>
  </si>
  <si>
    <t>b. Parent Entity Jurisdiction</t>
  </si>
  <si>
    <t>c. The amount of GloBE Income attributable to Ownership Interests held by other owners [D]</t>
  </si>
  <si>
    <t>d. Parent Entity’s Inclusion Ratio [F]=([A]-[D])/[A]</t>
  </si>
  <si>
    <t>a. Parent Entity’s Allocable Share of the Top-up Tax [G]=[C]×[F]</t>
  </si>
  <si>
    <t>b. IIR Offset [H]</t>
  </si>
  <si>
    <t>c. Top-up Tax payable by Parent Entity [I]=[G]-[H]</t>
  </si>
  <si>
    <t>3.4.2 Total UTPR Top-up Tax amount in respect of this Jurisdiction</t>
  </si>
  <si>
    <t>1.  LTCE (or member of JV Group) for which Article 2.5.2 does not apply (TIN)</t>
  </si>
  <si>
    <t>2. Top-up Tax taken into account for Article 2.5.1</t>
  </si>
  <si>
    <t>3. Total UTPR Top-up Tax Amount in respect of this jurisdiction</t>
  </si>
  <si>
    <t>3.4.3 Attribution of Top-up Tax under the UTPR</t>
  </si>
  <si>
    <t>1. UTPR Jurisdictions</t>
  </si>
  <si>
    <t>2. UTPR Top- up Tax carry- forward</t>
  </si>
  <si>
    <t>3. Number of Employees</t>
  </si>
  <si>
    <t>4. Net Book Value of Tangible Assets</t>
  </si>
  <si>
    <t>5. UTPR Percentage</t>
  </si>
  <si>
    <t>6. UTPR Top-up Tax Amount attributed for the Reporting Fiscal Year</t>
  </si>
  <si>
    <t>7. Additional cash tax expense incurred by CEs in UTPR jurisdiction</t>
  </si>
  <si>
    <t>8. UTPR Top-up tax left to be carried forward</t>
  </si>
  <si>
    <t>1 MNE Group Information</t>
  </si>
  <si>
    <t>1.1 Identification of the Filing Constituent Entity</t>
  </si>
  <si>
    <t xml:space="preserve">4. Role </t>
  </si>
  <si>
    <t>6. Recipient Jurisdictions for Exchange of Information (if relevant)</t>
  </si>
  <si>
    <t>1. UPE is the Filing Constituent Entity</t>
  </si>
  <si>
    <t>2. Name of the Filing Constituent Entity</t>
  </si>
  <si>
    <t>3. Tax identification number</t>
  </si>
  <si>
    <t>1.2 MNE Group General Information</t>
  </si>
  <si>
    <t>1.2.1 MNE Group and Reporting Fiscal Year</t>
  </si>
  <si>
    <t xml:space="preserve">1. Name of the MNE Group </t>
  </si>
  <si>
    <t xml:space="preserve">2. Start date of the Reporting Fiscal Year </t>
  </si>
  <si>
    <t xml:space="preserve">3. End date of the Reporting Fiscal Year </t>
  </si>
  <si>
    <t>4. Amended Return</t>
  </si>
  <si>
    <t>1.2.2 MNE General accounting information</t>
  </si>
  <si>
    <t xml:space="preserve">1. Consolidated Financial Statements of the UPE (type) </t>
  </si>
  <si>
    <t xml:space="preserve">2. Financial Accounting standard used for the CFS of the UPE </t>
  </si>
  <si>
    <t>3. Presentation currency used for the CFS of the UPE (ISO code)</t>
  </si>
  <si>
    <t>1.3 Corporate Structure</t>
  </si>
  <si>
    <t>1.3.1 Ultimate Parent Entity</t>
  </si>
  <si>
    <t>1. UPE Jurisdiction</t>
  </si>
  <si>
    <t>2. Applicable rules?</t>
  </si>
  <si>
    <t>3. Name of the UPE</t>
  </si>
  <si>
    <t>4. TIN of the UPE</t>
  </si>
  <si>
    <t>5. TIN of the UPE in the Filing Jurisdiction (if different, and if any)</t>
  </si>
  <si>
    <t>6. Status for GloBE purposes</t>
  </si>
  <si>
    <t>7. If the UPE is an Excluded Entity - Type</t>
  </si>
  <si>
    <t>8. Art. 10.3.5 Jurisdiction (if any)</t>
  </si>
  <si>
    <t>1.3.2 Group Entities (other than the UPE) and members of JV Groups</t>
  </si>
  <si>
    <t>1.3.2.1 Constituent Entities and members of JV Groups</t>
  </si>
  <si>
    <t xml:space="preserve">Changes </t>
  </si>
  <si>
    <t xml:space="preserve">1. Changes from previous Reporting Fiscal Year? </t>
  </si>
  <si>
    <t xml:space="preserve">Jurisdiction </t>
  </si>
  <si>
    <t>2. Jurisdiction</t>
  </si>
  <si>
    <t>3. Applicable rules?</t>
  </si>
  <si>
    <t>Identification of the Constituent Entity, JV or JV Subsidiary</t>
  </si>
  <si>
    <t>4. Name of Constituent Entity, JV or JV Subsidiary</t>
  </si>
  <si>
    <t>5. TIN</t>
  </si>
  <si>
    <t>6. TIN for filing jurisdiction (if any)</t>
  </si>
  <si>
    <t>7. Status for GloBE purposes</t>
  </si>
  <si>
    <t>If the CE is a POPE or an Intermediate Parent Entity, is the Entity required to apply a QIIR?</t>
  </si>
  <si>
    <t>11. Parent Entity Status</t>
  </si>
  <si>
    <t>12. If the exception provided in Article 2.1.3 shall apply, such that the UPE applies the IIR or there is another Intermediate Parent Entity required to apply the IIR, identify the UPE or the other Intermediate Parent Entity (TIN)</t>
  </si>
  <si>
    <t>13. If the exception provided in Article 2.1.5 shall apply, identify the other POPE required to apply a QIIR (TIN)</t>
  </si>
  <si>
    <t>Is UTPR applicable in respect of the entity?</t>
  </si>
  <si>
    <t xml:space="preserve">14. Initial phase of International Activity (Article 9.3.1 or Article 9.3.5 (a)) applicable? </t>
  </si>
  <si>
    <t>15. Aggregate Ownership Interests (respectively Allocable Share of Top-up Taxes) of Parent Entities required to apply a QIIR in respect of the CE (respectively member of JV Group) (in percentage)</t>
  </si>
  <si>
    <t>16. Are the UPE's Ownership Interests in the CE (respectively UPE’s allocable share of Top-up Tax for the member of JV Group) greater the aggregate Ownership Interests (respectively allocable share) of Parent Entities required to apply a QIIR in that CE (respectively member of JV group)?</t>
  </si>
  <si>
    <t>1.3.2.2 Excluded Entities</t>
  </si>
  <si>
    <t>2. Name of the Excluded Entity</t>
  </si>
  <si>
    <t>3. Type of the Excluded Entity</t>
  </si>
  <si>
    <t>Ownership structure of the Constituent Entity, JV or JV Subsidiary. For each entity holding Ownership interests in the Constituent Entity, JV or JV Subsidiary:</t>
  </si>
  <si>
    <t>8. Type</t>
  </si>
  <si>
    <t>10. Ownership interest held (percentage)</t>
  </si>
  <si>
    <t>9. TIN (for CEs or members of JV Groups)</t>
  </si>
  <si>
    <t>Germany</t>
  </si>
  <si>
    <t>Finland</t>
  </si>
  <si>
    <t>1. January 2024</t>
  </si>
  <si>
    <t>31. December 2024</t>
  </si>
  <si>
    <t>1.3.3 Changes in the corporate structure that occurred during the Reporting Fiscal Year</t>
  </si>
  <si>
    <t>a. Were changes in the corporate structure that occurred during the Reporting Fiscal Year not reported because they neither affected the ETR computation orthe computation or allocation of Top-up Tax?</t>
  </si>
  <si>
    <t xml:space="preserve">2. TIN </t>
  </si>
  <si>
    <t>1.4 High-level summary of GloBE Information</t>
  </si>
  <si>
    <t xml:space="preserve">1. Name of the Constituent Entity (or other Entity of the MNEGroup) or member of JV Group </t>
  </si>
  <si>
    <t>3.Effective Date of the change</t>
  </si>
  <si>
    <t>4. Status for GloBE purposes before the change</t>
  </si>
  <si>
    <t>5. Status for GloBE purposes after the change</t>
  </si>
  <si>
    <t>6. Entities holding Ownership interests in that CE (or other Entity) or member of JV Group before or after the change</t>
  </si>
  <si>
    <t>7. Ownership Interests held in that CE (or other Entity) or member of JV Group before the change (Percentage)</t>
  </si>
  <si>
    <t>8. Ownership Interests held in that CE (or other Entity) or member of JV Group after the change (Percentage)</t>
  </si>
  <si>
    <t>2. Jurisdictional safe harbours and exclusions – Jurisdictional schedules</t>
  </si>
  <si>
    <t>The Filing Constituent Entity shall complete Section 2 on a jurisdictional basis, for each jurisdiction where exceptions to the GloBE
computation apply.</t>
  </si>
  <si>
    <t>2.1. Characteristics of the jurisdiction</t>
  </si>
  <si>
    <t>2. Type of subgroup (if any)</t>
  </si>
  <si>
    <t>3. Identification of subgroup (if any)</t>
  </si>
  <si>
    <t>4. Jurisdiction with taxing rights</t>
  </si>
  <si>
    <t>5. Existence of reportable differences (Yes/No)</t>
  </si>
  <si>
    <t>2.2. Jurisdictional exceptions applicable in respect of this jurisdiction (Top-up Tax reduced to zero)</t>
  </si>
  <si>
    <t>2.2.1. Safe harbour jurisdiction election</t>
  </si>
  <si>
    <t>2.2.1.1 Safe harbour election</t>
  </si>
  <si>
    <t xml:space="preserve">1. Safe Harbour elected </t>
  </si>
  <si>
    <t>2.2.1.2 Permanent safe harbours</t>
  </si>
  <si>
    <t>(a) Simplified Calculation for Non-material Constituent Entities</t>
  </si>
  <si>
    <t>Name of the jurisdiction</t>
  </si>
  <si>
    <t>Permanent safe harbours</t>
  </si>
  <si>
    <t>Transitional safe harbours</t>
  </si>
  <si>
    <t>please indicate</t>
  </si>
  <si>
    <t>d. Average of the three Fiscal Years (ifapplicable)</t>
  </si>
  <si>
    <t>a. Reporting Fiscal Year</t>
  </si>
  <si>
    <t>1. Total Revenue of all NMCEs in the jurisdiction</t>
  </si>
  <si>
    <t xml:space="preserve">b. 1st preceding Fiscal Year (if applicable) </t>
  </si>
  <si>
    <t xml:space="preserve">c. 2nd preceding Fiscal Year (if applicable) </t>
  </si>
  <si>
    <t>2. Aggregate Simplified Tax of all NMCEs in the jurisdiction</t>
  </si>
  <si>
    <t>2.2.1.3 Transitional safe harbours</t>
  </si>
  <si>
    <t>(a) Transitional CbCR safe harbour</t>
  </si>
  <si>
    <t>1. Total Revenue</t>
  </si>
  <si>
    <t>2. Profit (Loss) before Income Tax</t>
  </si>
  <si>
    <t>3. Simplified Covered Taxes</t>
  </si>
  <si>
    <t>(b) Transitional UTPR safe harbour</t>
  </si>
  <si>
    <t>1. Corporate income tax rate</t>
  </si>
  <si>
    <t>2.2.2. Election for de minimis exclusion</t>
  </si>
  <si>
    <t>Election to apply the de minimis exclusion for the Reporting Fiscal Year</t>
  </si>
  <si>
    <t>Simplified Calculations for Non-material Constituent Entities – Constituent Entities that are not NMCEs</t>
  </si>
  <si>
    <t>b. 1st preceding FiscalYear (if applicable)</t>
  </si>
  <si>
    <t>c. 2nd preceding FiscalYear (if applicable)</t>
  </si>
  <si>
    <t>2. GloBE Revenue</t>
  </si>
  <si>
    <t>1. Revenue (Financial Accounts)</t>
  </si>
  <si>
    <t>3. Financial Accounting Net Income (or Loss)</t>
  </si>
  <si>
    <t>d. Average of the three Fiscal Years</t>
  </si>
  <si>
    <t>4. GloBE Income (or Loss)</t>
  </si>
  <si>
    <t>2.3. MNE Group in the initial phase of international activity (if applicable)</t>
  </si>
  <si>
    <t>1. First day of the First Fiscal Year in which the MNE Group originally came within the scope of GloBERules</t>
  </si>
  <si>
    <t>2. Reference Jurisdiction</t>
  </si>
  <si>
    <t>3. Net Book Value of Tangible Assets in Reference Jurisdiction for the Fiscal Year in which the MNEGroup originally comes within the scope of GloBE Rules</t>
  </si>
  <si>
    <t>4. Number of jurisdictions where the MNE Group has Constituent Entities for the Fiscal Year in which theMNE Group originally comes within the scope of GloBE Rules</t>
  </si>
  <si>
    <t>b. Net Book Values of Tangible Assets of all Constituent Entities located in each jurisdiction</t>
  </si>
  <si>
    <t>6. Number of jurisdictions where the MNE Group has Constituent Entities during the Reporting Fiscal Year</t>
  </si>
  <si>
    <t>7. Sum of the Net Book Values of Tangible Assets of all Constituent Entities located in other jurisdictionsthan the Reference Jurisdiction during the Reporting Fiscal Year</t>
  </si>
  <si>
    <t>5. Tangible Assets of Constituent Entities located outside the Reference Jurisdiction for the Fiscal Year inwhich the MNE Group originally comes within the scope of GloBE Rules</t>
  </si>
  <si>
    <t>a. Jurisdiction</t>
  </si>
  <si>
    <t>Name</t>
  </si>
  <si>
    <t>TIN</t>
  </si>
  <si>
    <t>Role</t>
  </si>
  <si>
    <t>5. Jurisdiction where the Filing CE is located</t>
  </si>
  <si>
    <t>GIR401 – Ultimate Parent Entity</t>
  </si>
  <si>
    <t>GIR402 – Designated Filing Entity</t>
  </si>
  <si>
    <t>GIR403 – Designated Local Entity</t>
  </si>
  <si>
    <t>GIR404 – Constituent Entity</t>
  </si>
  <si>
    <t>GIR405 – Other</t>
  </si>
  <si>
    <t>FilingCE</t>
  </si>
  <si>
    <t>FAS</t>
  </si>
  <si>
    <t>Currency</t>
  </si>
  <si>
    <t>NameMNE</t>
  </si>
  <si>
    <t>Start</t>
  </si>
  <si>
    <t>End</t>
  </si>
  <si>
    <t>GIR501– subparagraph a</t>
  </si>
  <si>
    <t>GIR502 – subparagraph b</t>
  </si>
  <si>
    <t>GIR503 – subparagraph c</t>
  </si>
  <si>
    <t>GIR504 – subparagraph d</t>
  </si>
  <si>
    <t>IFRS</t>
  </si>
  <si>
    <t>USD</t>
  </si>
  <si>
    <t>Consolidated Financial Statements means:
Subparagraph (a) the financial statements prepared by an Entity in accordance with an Acceptable Financial Accounting Standard, in which the assets, liabilities, income, expenses and cash flows of that Entity and the Entities in which it has a Controlling Interest are presented as those of a single economic unit;
Subparagraph (b) where an Entity meets the definition of a Group under Article 1.2.3, the financial statements of the Entity that are prepared in accordance with an Acceptable Financial Accounting Standard;
Subparagraph (c) where the Ultimate Parent Entity has financial statements described in paragraph (a) or (b) that are not prepared in accordance with an Acceptable Financial Accounting Standard, the financial statements are those that have been prepared subject to adjustments to prevent any Material Competitive Distortions; and
Subparagraph (d) where the Ultimate Parent Entity does not prepare financial statements described in the paragraphs above, the Consolidated Financial Statements of the Ultimate Parent Entity are those that would have been prepared if such Entity were required to prepare such statements in accordance with an Authorised Financial Accounting Standard that is either an Acceptable Financial Accounting Standard or another financial accounting standard that is adjusted to prevent any Material Competitive Distortions.</t>
  </si>
  <si>
    <t>Art10.3.5</t>
  </si>
  <si>
    <t>ExcludedUPEStatus</t>
  </si>
  <si>
    <t>UPE</t>
  </si>
  <si>
    <t>GIR201 – QIIR applicable to Low-Taxed Constituent Entities located in other jurisdictions only</t>
  </si>
  <si>
    <t>GIR203 – QUTPR</t>
  </si>
  <si>
    <t>GIR204 – QDMTT</t>
  </si>
  <si>
    <t>GIR205 – Not applicable</t>
  </si>
  <si>
    <t>Rules</t>
  </si>
  <si>
    <r>
      <rPr>
        <sz val="10"/>
        <color theme="0" tint="-0.14999847407452621"/>
        <rFont val="ArialMT"/>
      </rPr>
      <t>GIR202 – QIIR applicable to both Low-Taxed Constituent Entities located in other jurisdictions and</t>
    </r>
    <r>
      <rPr>
        <sz val="10"/>
        <color theme="0" tint="-0.14999847407452621"/>
        <rFont val="SymbolMT"/>
      </rPr>
      <t xml:space="preserve"> in the jurisdiction of the Parent Entity</t>
    </r>
  </si>
  <si>
    <t>GIR202 – QIIR applicable to both Low-Taxed Constituent Entities located in other jurisdictions and in the jurisdiction of the Parent Entity</t>
  </si>
  <si>
    <t>GlobeStatus</t>
  </si>
  <si>
    <t>GIR301 – Constituent Entity</t>
  </si>
  <si>
    <t>GIR302 – Flow-through Entity – Tax Transparent</t>
  </si>
  <si>
    <t>GIR303 – Flow-through Entity – Reverse Hybrid</t>
  </si>
  <si>
    <t>GIR304 – Hybrid Entity</t>
  </si>
  <si>
    <t>GIR305 – Permanent Establishment</t>
  </si>
  <si>
    <t>GIR306 – Main Entity</t>
  </si>
  <si>
    <t>GIR307 – Minority-Owned Parent Entity</t>
  </si>
  <si>
    <t>GIR308 – Minority-Owned Subsidiary</t>
  </si>
  <si>
    <t>GIR309 – Minority-Owned Constituent Entity</t>
  </si>
  <si>
    <t>GIR310 – Investment Entity</t>
  </si>
  <si>
    <t>GIR311 – Insurance Investment Entity</t>
  </si>
  <si>
    <t>GIR312 – Securitisation Entity</t>
  </si>
  <si>
    <t>GIR313 – JV</t>
  </si>
  <si>
    <t>GIR314 – JV Subsidiary</t>
  </si>
  <si>
    <t>GIR315 – Non-Material Constituent Entity</t>
  </si>
  <si>
    <t>GIR316 – Excluded Entity</t>
  </si>
  <si>
    <t>GIR317 – Parent Entity required to apply a QIIR under Article 10.3.5</t>
  </si>
  <si>
    <t>GIR318 – Non-group member</t>
  </si>
  <si>
    <t>GIR601 – Governmental Entity</t>
  </si>
  <si>
    <t>GIR602 – International Organisation</t>
  </si>
  <si>
    <t>GIR603 – Non-profit Organisation</t>
  </si>
  <si>
    <t>GIR604 – Pension fund</t>
  </si>
  <si>
    <t>GIR605 – Investment Fund that is the UPE</t>
  </si>
  <si>
    <t>GIR606 – Real Estate Investment Vehicle that is the UPE</t>
  </si>
  <si>
    <t>GIR801 – UPE</t>
  </si>
  <si>
    <t>GIR802 – Constituent Entities</t>
  </si>
  <si>
    <t>GIR803 – JV’s</t>
  </si>
  <si>
    <t>GIR804 – JV Subsidiaries</t>
  </si>
  <si>
    <t>GIR805 – Excluded Entities (aggregate)</t>
  </si>
  <si>
    <t>GIR806 – Non-Group members (aggregate).</t>
  </si>
  <si>
    <t>The AggOwnership element indicates the aggregate Ownership Interests in percentage over the total of Ownership Interests held in that Constituent Entity. The aggregate (direct and indirect) Ownership Interests of Parent Entities required to apply a QIIR is the sum of the Ownership Interests held by each Parent Entity that is required to apply a QIIR with respect to the Low-Taxed Constituent Entities. The aggregate amount shall be zero if no Parent Entity is required to apply a QIIR in respect of the low- taxed income of the LowTaxed Constituent Entity. If a Parent Entity (that owns an Ownership Interest in a LTCE indirectly through an Intermediate Parent Entity or a Partially-Owned Parent Entity that is not eligible for an exclusion from the IIR under Article 2.1.3 or 2.1.5) is required to apply the IIR, the relevant Ownership Interests shall be counted only once for purposes of computing the aggregate amount</t>
  </si>
  <si>
    <t>GIR1201 – De minimis Exclusion</t>
  </si>
  <si>
    <t>GIR1202 – QDMTT safe harbour</t>
  </si>
  <si>
    <t>GIR1204 – Transitional CbCR Safe Harbour – ETR test</t>
  </si>
  <si>
    <t>GIR1205 – Transitional CbCR Safe Harbour – Routine profit test</t>
  </si>
  <si>
    <t>GIR1206 – Transitional UTPR Safe Harbour</t>
  </si>
  <si>
    <t>GIR1207 – Permanent Safe Harbour – De minimis test</t>
  </si>
  <si>
    <t>GIR1208 – Permanent Safe Harbour – ETR test</t>
  </si>
  <si>
    <t>GIR1209 – Permanent Safe Harbour – Routine profit test</t>
  </si>
  <si>
    <t>GIR1203 – Transitional CbCR Safe Harbour – De minimis test</t>
  </si>
  <si>
    <t>Nord Stream AG</t>
  </si>
  <si>
    <t>CHE-112.660.698</t>
  </si>
  <si>
    <t>Nord Stream AG (PE Germany)</t>
  </si>
  <si>
    <t>Russia</t>
  </si>
  <si>
    <t>Nord Stream AG (PE Russia)</t>
  </si>
  <si>
    <t>X5</t>
  </si>
  <si>
    <t>Stateless</t>
  </si>
  <si>
    <t>Nord Stream AG (Stateless Permanent Establishment Germany)</t>
  </si>
  <si>
    <t>Nord Stream AG (Stateless Permanent Establishment Denmark)</t>
  </si>
  <si>
    <t>Nord Stream</t>
  </si>
  <si>
    <t>Nord Stream AG (Stateless Permanent Establishment Sweden)</t>
  </si>
  <si>
    <t>Nord Stream AG (Stateless Permanent Establishment Finland)</t>
  </si>
  <si>
    <t>Denmark</t>
  </si>
  <si>
    <t>Sweden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</si>
</sst>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000000000000%"/>
    <numFmt numFmtId="165" formatCode="_ * #,##0_ ;_ * \-#,##0_ ;_ * &quot;-&quot;??_ ;_ @_ "/>
    <numFmt numFmtId="166" formatCode="0.0%"/>
  </numFmts>
  <fonts count="35">
    <font>
      <sz val="11"/>
      <color theme="1"/>
      <name val="Arial"/>
      <family val="2"/>
    </font>
    <font>
      <sz val="11"/>
      <color theme="1"/>
      <name val="Arial"/>
      <family val="2"/>
    </font>
    <font>
      <sz val="11"/>
      <color rgb="FF3F3F76"/>
      <name val="Arial"/>
      <family val="2"/>
    </font>
    <font>
      <b/>
      <sz val="11"/>
      <color rgb="FF3F3F3F"/>
      <name val="Arial"/>
      <family val="2"/>
    </font>
    <font>
      <b/>
      <sz val="11"/>
      <color rgb="FFFA7D00"/>
      <name val="Arial"/>
      <family val="2"/>
    </font>
    <font>
      <i/>
      <sz val="11"/>
      <color rgb="FF7F7F7F"/>
      <name val="Arial"/>
      <family val="2"/>
    </font>
    <font>
      <b/>
      <i/>
      <sz val="18"/>
      <color theme="0"/>
      <name val="Aptos Narrow"/>
      <family val="2"/>
      <scheme val="minor"/>
    </font>
    <font>
      <sz val="12"/>
      <name val="Arial"/>
      <family val="2"/>
    </font>
    <font>
      <sz val="8"/>
      <color rgb="FF000000"/>
      <name val="Courier New"/>
      <family val="3"/>
    </font>
    <font>
      <b/>
      <sz val="20"/>
      <color theme="0"/>
      <name val="Arial"/>
      <family val="2"/>
    </font>
    <font>
      <sz val="12"/>
      <color rgb="FF000000"/>
      <name val="Arial"/>
      <family val="2"/>
    </font>
    <font>
      <b/>
      <sz val="12"/>
      <color rgb="FF000000"/>
      <name val="Arial"/>
      <family val="2"/>
    </font>
    <font>
      <b/>
      <sz val="12"/>
      <name val="Arial"/>
      <family val="2"/>
    </font>
    <font>
      <sz val="10"/>
      <name val="Arial"/>
      <family val="2"/>
    </font>
    <font>
      <vertAlign val="superscript"/>
      <sz val="12"/>
      <name val="Arial"/>
      <family val="2"/>
    </font>
    <font>
      <sz val="12"/>
      <color rgb="FF3F3F76"/>
      <name val="Arial"/>
      <family val="2"/>
    </font>
    <font>
      <b/>
      <sz val="12"/>
      <color theme="6"/>
      <name val="Arial"/>
      <family val="2"/>
    </font>
    <font>
      <sz val="12"/>
      <color rgb="FF000000"/>
      <name val="ArialMT"/>
    </font>
    <font>
      <sz val="12"/>
      <name val="ArialMT"/>
    </font>
    <font>
      <sz val="12"/>
      <color theme="0" tint="-0.249977111117893"/>
      <name val="ArialMT"/>
    </font>
    <font>
      <sz val="12"/>
      <color theme="0" tint="-0.249977111117893"/>
      <name val="Arial"/>
      <family val="2"/>
    </font>
    <font>
      <sz val="12"/>
      <color theme="1"/>
      <name val="Arial"/>
      <family val="2"/>
    </font>
    <font>
      <b/>
      <sz val="12"/>
      <color theme="0"/>
      <name val="Arial"/>
      <family val="2"/>
    </font>
    <font>
      <sz val="12"/>
      <color theme="6"/>
      <name val="Arial"/>
      <family val="2"/>
    </font>
    <font>
      <sz val="12"/>
      <color rgb="FF7F7F7F"/>
      <name val="Arial"/>
      <family val="2"/>
    </font>
    <font>
      <sz val="12"/>
      <color theme="6"/>
      <name val="ArialMT"/>
    </font>
    <font>
      <sz val="12"/>
      <color rgb="FF3E3E3E"/>
      <name val="Arial"/>
      <family val="2"/>
    </font>
    <font>
      <b/>
      <sz val="16"/>
      <color theme="0"/>
      <name val="Arial"/>
      <family val="2"/>
    </font>
    <font>
      <sz val="9"/>
      <color rgb="FF000000"/>
      <name val="ArialNarrow"/>
    </font>
    <font>
      <sz val="12"/>
      <color rgb="FF000000"/>
      <name val="ArialNarrow"/>
    </font>
    <font>
      <sz val="11"/>
      <color theme="0" tint="-0.14999847407452621"/>
      <name val="Arial"/>
      <family val="2"/>
    </font>
    <font>
      <sz val="10"/>
      <color rgb="FF4E81BD"/>
      <name val="SymbolMT"/>
    </font>
    <font>
      <sz val="10"/>
      <color theme="0" tint="-0.14999847407452621"/>
      <name val="ArialMT"/>
    </font>
    <font>
      <sz val="10"/>
      <color theme="0" tint="-0.14999847407452621"/>
      <name val="SymbolMT"/>
    </font>
    <font>
      <sz val="12"/>
      <color theme="0" tint="-0.14999847407452621"/>
      <name val="Arial"/>
      <family val="2"/>
    </font>
  </fonts>
  <fills count="11">
    <fill>
      <patternFill patternType="none"/>
    </fill>
    <fill>
      <patternFill patternType="gray125"/>
    </fill>
    <fill>
      <patternFill patternType="solid">
        <fgColor rgb="FFFFCC99"/>
      </patternFill>
    </fill>
    <fill>
      <patternFill patternType="solid">
        <fgColor rgb="FFF2F2F2"/>
      </patternFill>
    </fill>
    <fill>
      <patternFill patternType="solid">
        <fgColor theme="5"/>
        <bgColor indexed="64"/>
      </patternFill>
    </fill>
    <fill>
      <patternFill patternType="solid">
        <fgColor theme="7" tint="0.79998168889431442"/>
        <bgColor indexed="64"/>
      </patternFill>
    </fill>
    <fill>
      <patternFill patternType="solid">
        <fgColor rgb="FFE0303C"/>
        <bgColor indexed="64"/>
      </patternFill>
    </fill>
    <fill>
      <patternFill patternType="solid">
        <fgColor rgb="FFE4F1FA"/>
        <bgColor indexed="64"/>
      </patternFill>
    </fill>
    <fill>
      <patternFill patternType="solid">
        <fgColor rgb="FFF6E15F"/>
        <bgColor indexed="64"/>
      </patternFill>
    </fill>
    <fill>
      <patternFill patternType="solid">
        <fgColor rgb="FFB0C29C"/>
        <bgColor indexed="64"/>
      </patternFill>
    </fill>
    <fill>
      <patternFill patternType="solid">
        <fgColor theme="0"/>
        <bgColor indexed="64"/>
      </patternFill>
    </fill>
  </fills>
  <borders count="7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style="thin">
        <color rgb="FFBEBEBE"/>
      </right>
      <top/>
      <bottom style="thin">
        <color rgb="FFBEBEBE"/>
      </bottom>
      <diagonal/>
    </border>
    <border>
      <left style="medium">
        <color indexed="64"/>
      </left>
      <right style="thin">
        <color rgb="FFBEBEBE"/>
      </right>
      <top style="thin">
        <color rgb="FFBEBEBE"/>
      </top>
      <bottom style="thin">
        <color rgb="FFBEBEBE"/>
      </bottom>
      <diagonal/>
    </border>
    <border>
      <left style="medium">
        <color indexed="64"/>
      </left>
      <right style="thin">
        <color rgb="FFBEBEBE"/>
      </right>
      <top style="thin">
        <color rgb="FFBEBEBE"/>
      </top>
      <bottom style="medium">
        <color indexed="64"/>
      </bottom>
      <diagonal/>
    </border>
    <border>
      <left style="medium">
        <color indexed="64"/>
      </left>
      <right style="thin">
        <color rgb="FFBEBEBE"/>
      </right>
      <top style="thin">
        <color rgb="FFBEBEBE"/>
      </top>
      <bottom style="thin">
        <color indexed="64"/>
      </bottom>
      <diagonal/>
    </border>
    <border>
      <left style="medium">
        <color indexed="64"/>
      </left>
      <right style="thin">
        <color rgb="FFBEBEBE"/>
      </right>
      <top/>
      <bottom style="thin">
        <color indexed="64"/>
      </bottom>
      <diagonal/>
    </border>
    <border>
      <left style="medium">
        <color indexed="64"/>
      </left>
      <right style="thin">
        <color rgb="FFBEBEBE"/>
      </right>
      <top style="medium">
        <color indexed="64"/>
      </top>
      <bottom style="thin">
        <color indexed="64"/>
      </bottom>
      <diagonal/>
    </border>
    <border>
      <left style="thin">
        <color rgb="FFBEBEBE"/>
      </left>
      <right style="thin">
        <color indexed="64"/>
      </right>
      <top style="medium">
        <color indexed="64"/>
      </top>
      <bottom style="thin">
        <color indexed="64"/>
      </bottom>
      <diagonal/>
    </border>
    <border>
      <left style="thin">
        <color rgb="FFBEBEBE"/>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rgb="FFBEBEBE"/>
      </right>
      <top style="medium">
        <color indexed="64"/>
      </top>
      <bottom style="thin">
        <color rgb="FF4E81BC"/>
      </bottom>
      <diagonal/>
    </border>
    <border>
      <left style="thin">
        <color rgb="FFBEBEBE"/>
      </left>
      <right style="thin">
        <color rgb="FFBEBEBE"/>
      </right>
      <top style="medium">
        <color indexed="64"/>
      </top>
      <bottom style="thin">
        <color rgb="FF4E81BC"/>
      </bottom>
      <diagonal/>
    </border>
    <border>
      <left style="thin">
        <color rgb="FFBEBEBE"/>
      </left>
      <right style="medium">
        <color indexed="64"/>
      </right>
      <top style="medium">
        <color indexed="64"/>
      </top>
      <bottom style="thin">
        <color rgb="FF4E81BC"/>
      </bottom>
      <diagonal/>
    </border>
    <border>
      <left style="medium">
        <color indexed="64"/>
      </left>
      <right style="thin">
        <color rgb="FFBEBEBE"/>
      </right>
      <top style="thin">
        <color rgb="FF4E81BC"/>
      </top>
      <bottom style="medium">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rgb="FF4E81BC"/>
      </bottom>
      <diagonal/>
    </border>
    <border>
      <left style="thin">
        <color rgb="FFBEBEBE"/>
      </left>
      <right/>
      <top style="medium">
        <color indexed="64"/>
      </top>
      <bottom style="thin">
        <color rgb="FF4E81BC"/>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style="thin">
        <color indexed="64"/>
      </left>
      <right/>
      <top style="thin">
        <color indexed="64"/>
      </top>
      <bottom style="medium">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1" applyNumberFormat="0" applyAlignment="0" applyProtection="0"/>
    <xf numFmtId="0" fontId="3" fillId="3" borderId="2" applyNumberFormat="0" applyAlignment="0" applyProtection="0"/>
    <xf numFmtId="0" fontId="4" fillId="3" borderId="1" applyNumberFormat="0" applyAlignment="0" applyProtection="0"/>
    <xf numFmtId="0" fontId="5" fillId="0" borderId="0" applyNumberFormat="0" applyFill="0" applyBorder="0" applyAlignment="0" applyProtection="0"/>
    <xf numFmtId="0" fontId="6" fillId="4" borderId="3" applyProtection="0">
      <alignment horizontal="left" indent="2"/>
    </xf>
    <xf numFmtId="0" fontId="8" fillId="5" borderId="4">
      <alignment horizontal="center" vertical="center" shrinkToFit="1"/>
    </xf>
  </cellStyleXfs>
  <cellXfs count="394">
    <xf numFmtId="0" fontId="0" fillId="0" borderId="0" xfId="0"/>
    <xf numFmtId="0" fontId="7" fillId="0" borderId="4" xfId="0" applyFont="1" applyBorder="1" applyAlignment="1" applyProtection="1">
      <alignment horizontal="left" vertical="center" wrapText="1"/>
      <protection locked="0"/>
    </xf>
    <xf numFmtId="0" fontId="12" fillId="0" borderId="0" xfId="0" applyFont="1" applyAlignment="1" applyProtection="1">
      <alignment vertical="center"/>
      <protection locked="0"/>
    </xf>
    <xf numFmtId="0" fontId="7" fillId="0" borderId="4" xfId="0" applyFont="1" applyBorder="1" applyAlignment="1" applyProtection="1">
      <alignment vertical="center" wrapText="1"/>
      <protection locked="0"/>
    </xf>
    <xf numFmtId="0" fontId="7" fillId="0" borderId="0" xfId="0" applyFont="1" applyAlignment="1" applyProtection="1">
      <alignment horizontal="left" vertical="center"/>
      <protection locked="0"/>
    </xf>
    <xf numFmtId="0" fontId="7" fillId="0" borderId="0" xfId="0" applyFont="1" applyAlignment="1" applyProtection="1">
      <alignment vertical="center" wrapText="1"/>
      <protection locked="0"/>
    </xf>
    <xf numFmtId="0" fontId="7" fillId="0" borderId="0" xfId="0" applyFont="1" applyAlignment="1" applyProtection="1">
      <alignment horizontal="center" vertical="center" wrapText="1"/>
      <protection locked="0"/>
    </xf>
    <xf numFmtId="0" fontId="10" fillId="0" borderId="0" xfId="0" applyFont="1" applyAlignment="1" applyProtection="1">
      <alignment vertical="center"/>
      <protection locked="0"/>
    </xf>
    <xf numFmtId="0" fontId="10" fillId="0" borderId="0" xfId="0" applyFont="1" applyAlignment="1" applyProtection="1">
      <alignment vertical="center" wrapText="1"/>
      <protection locked="0"/>
    </xf>
    <xf numFmtId="0" fontId="10" fillId="0" borderId="0" xfId="0" applyFont="1" applyAlignment="1" applyProtection="1">
      <alignment horizontal="left" vertical="center" wrapText="1"/>
      <protection locked="0"/>
    </xf>
    <xf numFmtId="0" fontId="12" fillId="0" borderId="0" xfId="0" applyFont="1" applyAlignment="1" applyProtection="1">
      <alignment vertical="center" wrapText="1"/>
      <protection locked="0"/>
    </xf>
    <xf numFmtId="0" fontId="7" fillId="0" borderId="0" xfId="0" applyFont="1" applyAlignment="1" applyProtection="1">
      <alignment horizontal="left" vertical="center" wrapText="1"/>
      <protection locked="0"/>
    </xf>
    <xf numFmtId="0" fontId="7" fillId="0" borderId="5" xfId="0" applyFont="1" applyBorder="1" applyAlignment="1" applyProtection="1">
      <alignment vertical="center" wrapText="1"/>
      <protection locked="0"/>
    </xf>
    <xf numFmtId="0" fontId="16" fillId="0" borderId="0" xfId="0" applyFont="1" applyAlignment="1" applyProtection="1">
      <alignment vertical="center"/>
      <protection locked="0"/>
    </xf>
    <xf numFmtId="0" fontId="10" fillId="0" borderId="0" xfId="0" applyFont="1" applyAlignment="1" applyProtection="1">
      <alignment horizontal="left" vertical="center"/>
      <protection locked="0"/>
    </xf>
    <xf numFmtId="0" fontId="11" fillId="0" borderId="0" xfId="0" applyFont="1" applyAlignment="1" applyProtection="1">
      <alignment horizontal="left" vertical="center"/>
      <protection locked="0"/>
    </xf>
    <xf numFmtId="0" fontId="18" fillId="0" borderId="0" xfId="0" applyFont="1" applyAlignment="1">
      <alignment vertical="center"/>
    </xf>
    <xf numFmtId="0" fontId="19" fillId="0" borderId="0" xfId="0" applyFont="1" applyAlignment="1">
      <alignment vertical="center"/>
    </xf>
    <xf numFmtId="0" fontId="7" fillId="0" borderId="0" xfId="6" applyFont="1" applyFill="1" applyAlignment="1" applyProtection="1">
      <alignment vertical="center" wrapText="1"/>
      <protection locked="0"/>
    </xf>
    <xf numFmtId="0" fontId="10" fillId="0" borderId="4" xfId="0" applyFont="1" applyBorder="1" applyAlignment="1" applyProtection="1">
      <alignment horizontal="left" vertical="center" wrapText="1"/>
      <protection locked="0"/>
    </xf>
    <xf numFmtId="0" fontId="21" fillId="0" borderId="28" xfId="0" applyFont="1" applyBorder="1" applyAlignment="1" applyProtection="1">
      <alignment vertical="center" wrapText="1"/>
      <protection locked="0"/>
    </xf>
    <xf numFmtId="0" fontId="21" fillId="8" borderId="29" xfId="3" applyFont="1" applyFill="1" applyBorder="1" applyAlignment="1" applyProtection="1">
      <alignment horizontal="center" vertical="center"/>
      <protection locked="0"/>
    </xf>
    <xf numFmtId="0" fontId="21" fillId="0" borderId="30" xfId="0" applyFont="1" applyBorder="1" applyAlignment="1" applyProtection="1">
      <alignment vertical="center" wrapText="1"/>
      <protection locked="0"/>
    </xf>
    <xf numFmtId="0" fontId="7" fillId="0" borderId="28" xfId="0" applyFont="1" applyBorder="1" applyAlignment="1" applyProtection="1">
      <alignment horizontal="left" vertical="center"/>
      <protection locked="0"/>
    </xf>
    <xf numFmtId="0" fontId="7" fillId="0" borderId="28" xfId="0" applyFont="1" applyBorder="1" applyAlignment="1" applyProtection="1">
      <alignment horizontal="left" vertical="center" wrapText="1"/>
      <protection locked="0"/>
    </xf>
    <xf numFmtId="0" fontId="7" fillId="0" borderId="30" xfId="0" applyFont="1" applyBorder="1" applyAlignment="1" applyProtection="1">
      <alignment horizontal="left" vertical="center" wrapText="1"/>
      <protection locked="0"/>
    </xf>
    <xf numFmtId="0" fontId="21" fillId="0" borderId="32" xfId="0" applyFont="1" applyBorder="1" applyAlignment="1" applyProtection="1">
      <alignment horizontal="left" vertical="center"/>
      <protection locked="0"/>
    </xf>
    <xf numFmtId="0" fontId="21" fillId="0" borderId="34" xfId="0" applyFont="1" applyBorder="1" applyAlignment="1" applyProtection="1">
      <alignment horizontal="left" vertical="center" wrapText="1"/>
      <protection locked="0"/>
    </xf>
    <xf numFmtId="0" fontId="21" fillId="0" borderId="29" xfId="4" applyFont="1" applyFill="1" applyBorder="1" applyAlignment="1" applyProtection="1">
      <alignment horizontal="right" vertical="center"/>
    </xf>
    <xf numFmtId="165" fontId="21" fillId="0" borderId="33" xfId="1" applyNumberFormat="1" applyFont="1" applyFill="1" applyBorder="1" applyAlignment="1" applyProtection="1">
      <alignment horizontal="right" vertical="center"/>
    </xf>
    <xf numFmtId="165" fontId="21" fillId="0" borderId="29" xfId="1" applyNumberFormat="1" applyFont="1" applyFill="1" applyBorder="1" applyAlignment="1" applyProtection="1">
      <alignment horizontal="right" vertical="center"/>
    </xf>
    <xf numFmtId="0" fontId="21" fillId="0" borderId="25" xfId="0" applyFont="1" applyBorder="1" applyAlignment="1" applyProtection="1">
      <alignment horizontal="left" vertical="center"/>
      <protection locked="0"/>
    </xf>
    <xf numFmtId="0" fontId="25" fillId="0" borderId="0" xfId="0" applyFont="1" applyAlignment="1">
      <alignment vertical="center"/>
    </xf>
    <xf numFmtId="0" fontId="7" fillId="0" borderId="0" xfId="0" applyFont="1" applyAlignment="1" applyProtection="1">
      <alignment vertical="center"/>
      <protection locked="0"/>
    </xf>
    <xf numFmtId="0" fontId="24" fillId="0" borderId="0" xfId="6" applyFont="1" applyAlignment="1">
      <alignment horizontal="left" vertical="center"/>
    </xf>
    <xf numFmtId="0" fontId="24" fillId="0" borderId="0" xfId="6" quotePrefix="1" applyFont="1" applyAlignment="1" applyProtection="1">
      <alignment vertical="center" wrapText="1"/>
      <protection locked="0"/>
    </xf>
    <xf numFmtId="0" fontId="24" fillId="0" borderId="0" xfId="6" quotePrefix="1" applyFont="1" applyAlignment="1" applyProtection="1">
      <alignment vertical="center"/>
      <protection locked="0"/>
    </xf>
    <xf numFmtId="0" fontId="21" fillId="0" borderId="28" xfId="0" applyFont="1" applyBorder="1" applyAlignment="1" applyProtection="1">
      <alignment horizontal="left" vertical="center" wrapText="1"/>
      <protection locked="0"/>
    </xf>
    <xf numFmtId="37" fontId="21" fillId="0" borderId="29" xfId="4" applyNumberFormat="1" applyFont="1" applyFill="1" applyBorder="1" applyAlignment="1" applyProtection="1">
      <alignment horizontal="right" vertical="center"/>
    </xf>
    <xf numFmtId="0" fontId="21" fillId="0" borderId="30" xfId="0" applyFont="1" applyBorder="1" applyAlignment="1" applyProtection="1">
      <alignment horizontal="left" vertical="center"/>
      <protection locked="0"/>
    </xf>
    <xf numFmtId="43" fontId="21" fillId="8" borderId="29" xfId="1" applyFont="1" applyFill="1" applyBorder="1" applyAlignment="1" applyProtection="1">
      <alignment horizontal="center" vertical="center"/>
      <protection locked="0"/>
    </xf>
    <xf numFmtId="165" fontId="21" fillId="8" borderId="29" xfId="1" applyNumberFormat="1" applyFont="1" applyFill="1" applyBorder="1" applyAlignment="1" applyProtection="1">
      <alignment horizontal="right" vertical="center"/>
    </xf>
    <xf numFmtId="165" fontId="21" fillId="8" borderId="4" xfId="1" applyNumberFormat="1" applyFont="1" applyFill="1" applyBorder="1" applyAlignment="1" applyProtection="1">
      <alignment horizontal="right" vertical="center"/>
    </xf>
    <xf numFmtId="0" fontId="7" fillId="0" borderId="28" xfId="0" applyFont="1" applyBorder="1" applyAlignment="1" applyProtection="1">
      <alignment vertical="center" wrapText="1"/>
      <protection locked="0"/>
    </xf>
    <xf numFmtId="0" fontId="7" fillId="0" borderId="30" xfId="0" applyFont="1" applyBorder="1" applyAlignment="1" applyProtection="1">
      <alignment vertical="center" wrapText="1"/>
      <protection locked="0"/>
    </xf>
    <xf numFmtId="0" fontId="13" fillId="7" borderId="0" xfId="0" applyFont="1" applyFill="1" applyAlignment="1" applyProtection="1">
      <alignment horizontal="center" vertical="center" wrapText="1"/>
      <protection locked="0"/>
    </xf>
    <xf numFmtId="0" fontId="7" fillId="0" borderId="29" xfId="0" applyFont="1" applyBorder="1" applyAlignment="1" applyProtection="1">
      <alignment horizontal="left" vertical="center" wrapText="1"/>
      <protection locked="0"/>
    </xf>
    <xf numFmtId="165" fontId="15" fillId="0" borderId="31" xfId="1" applyNumberFormat="1" applyFont="1" applyFill="1" applyBorder="1" applyAlignment="1" applyProtection="1">
      <alignment vertical="center"/>
      <protection locked="0"/>
    </xf>
    <xf numFmtId="0" fontId="21" fillId="0" borderId="4" xfId="0" applyFont="1" applyBorder="1" applyAlignment="1" applyProtection="1">
      <alignment horizontal="center" vertical="center" wrapText="1"/>
      <protection locked="0"/>
    </xf>
    <xf numFmtId="0" fontId="21" fillId="0" borderId="36" xfId="0" applyFont="1" applyBorder="1" applyAlignment="1" applyProtection="1">
      <alignment vertical="center" wrapText="1"/>
      <protection locked="0"/>
    </xf>
    <xf numFmtId="0" fontId="21" fillId="0" borderId="36" xfId="0" applyFont="1" applyBorder="1" applyAlignment="1" applyProtection="1">
      <alignment vertical="center"/>
      <protection locked="0"/>
    </xf>
    <xf numFmtId="0" fontId="21" fillId="0" borderId="29" xfId="4" applyFont="1" applyFill="1" applyBorder="1" applyAlignment="1" applyProtection="1">
      <alignment vertical="center"/>
    </xf>
    <xf numFmtId="165" fontId="21" fillId="0" borderId="29" xfId="1" applyNumberFormat="1" applyFont="1" applyFill="1" applyBorder="1" applyAlignment="1" applyProtection="1">
      <alignment vertical="center"/>
    </xf>
    <xf numFmtId="165" fontId="21" fillId="0" borderId="31" xfId="1" applyNumberFormat="1" applyFont="1" applyFill="1" applyBorder="1" applyAlignment="1" applyProtection="1">
      <alignment vertical="center"/>
    </xf>
    <xf numFmtId="165" fontId="21" fillId="0" borderId="33" xfId="1" applyNumberFormat="1" applyFont="1" applyFill="1" applyBorder="1" applyAlignment="1" applyProtection="1">
      <alignment vertical="center"/>
    </xf>
    <xf numFmtId="0" fontId="21" fillId="0" borderId="28" xfId="0" applyFont="1" applyBorder="1" applyAlignment="1" applyProtection="1">
      <alignment vertical="center"/>
      <protection locked="0"/>
    </xf>
    <xf numFmtId="0" fontId="10" fillId="0" borderId="0" xfId="0" applyFont="1" applyAlignment="1">
      <alignment vertical="center"/>
    </xf>
    <xf numFmtId="0" fontId="21" fillId="8" borderId="0" xfId="0" applyFont="1" applyFill="1" applyAlignment="1" applyProtection="1">
      <alignment vertical="center"/>
      <protection locked="0"/>
    </xf>
    <xf numFmtId="0" fontId="10" fillId="7" borderId="0" xfId="0" applyFont="1" applyFill="1" applyAlignment="1" applyProtection="1">
      <alignment vertical="center"/>
      <protection locked="0"/>
    </xf>
    <xf numFmtId="0" fontId="10" fillId="9" borderId="0" xfId="0" applyFont="1" applyFill="1" applyAlignment="1" applyProtection="1">
      <alignment vertical="center"/>
      <protection locked="0"/>
    </xf>
    <xf numFmtId="10" fontId="21" fillId="0" borderId="29" xfId="2" applyNumberFormat="1" applyFont="1" applyFill="1" applyBorder="1" applyAlignment="1" applyProtection="1">
      <alignment vertical="center"/>
    </xf>
    <xf numFmtId="164" fontId="10" fillId="0" borderId="0" xfId="0" applyNumberFormat="1" applyFont="1" applyAlignment="1" applyProtection="1">
      <alignment vertical="center"/>
      <protection locked="0"/>
    </xf>
    <xf numFmtId="165" fontId="21" fillId="0" borderId="29" xfId="1" applyNumberFormat="1" applyFont="1" applyFill="1" applyBorder="1" applyAlignment="1" applyProtection="1">
      <alignment horizontal="left" vertical="center"/>
    </xf>
    <xf numFmtId="3" fontId="10" fillId="0" borderId="0" xfId="0" applyNumberFormat="1" applyFont="1" applyAlignment="1" applyProtection="1">
      <alignment vertical="center"/>
      <protection locked="0"/>
    </xf>
    <xf numFmtId="165" fontId="21" fillId="0" borderId="29" xfId="1" applyNumberFormat="1" applyFont="1" applyFill="1" applyBorder="1" applyAlignment="1" applyProtection="1">
      <alignment horizontal="right" vertical="center"/>
      <protection locked="0"/>
    </xf>
    <xf numFmtId="0" fontId="21" fillId="0" borderId="29" xfId="3" applyFont="1" applyFill="1" applyBorder="1" applyAlignment="1" applyProtection="1">
      <alignment horizontal="center" vertical="center"/>
      <protection locked="0"/>
    </xf>
    <xf numFmtId="37" fontId="21" fillId="0" borderId="29" xfId="4" applyNumberFormat="1" applyFont="1" applyFill="1" applyBorder="1" applyAlignment="1" applyProtection="1">
      <alignment vertical="center"/>
    </xf>
    <xf numFmtId="0" fontId="21" fillId="0" borderId="31" xfId="3" applyFont="1" applyFill="1" applyBorder="1" applyAlignment="1" applyProtection="1">
      <alignment horizontal="center" vertical="center"/>
      <protection locked="0"/>
    </xf>
    <xf numFmtId="0" fontId="23" fillId="0" borderId="0" xfId="0" applyFont="1" applyAlignment="1" applyProtection="1">
      <alignment vertical="center"/>
      <protection locked="0"/>
    </xf>
    <xf numFmtId="0" fontId="13" fillId="7" borderId="0" xfId="0" applyFont="1" applyFill="1" applyAlignment="1" applyProtection="1">
      <alignment vertical="center"/>
      <protection locked="0"/>
    </xf>
    <xf numFmtId="165" fontId="10" fillId="0" borderId="29" xfId="1" applyNumberFormat="1" applyFont="1" applyBorder="1" applyAlignment="1" applyProtection="1">
      <alignment horizontal="center" vertical="center"/>
      <protection locked="0"/>
    </xf>
    <xf numFmtId="0" fontId="24" fillId="0" borderId="0" xfId="6" applyFont="1" applyAlignment="1" applyProtection="1">
      <alignment horizontal="left" vertical="center"/>
      <protection locked="0"/>
    </xf>
    <xf numFmtId="10" fontId="10" fillId="0" borderId="31" xfId="2" applyNumberFormat="1" applyFont="1" applyBorder="1" applyAlignment="1" applyProtection="1">
      <alignment horizontal="right" vertical="center"/>
      <protection locked="0"/>
    </xf>
    <xf numFmtId="0" fontId="23" fillId="0" borderId="0" xfId="0" applyFont="1" applyAlignment="1" applyProtection="1">
      <alignment horizontal="left" vertical="center"/>
      <protection locked="0"/>
    </xf>
    <xf numFmtId="165" fontId="21" fillId="0" borderId="29" xfId="1" applyNumberFormat="1" applyFont="1" applyFill="1" applyBorder="1" applyAlignment="1" applyProtection="1">
      <alignment horizontal="center" vertical="center" wrapText="1"/>
      <protection locked="0"/>
    </xf>
    <xf numFmtId="165" fontId="21" fillId="0" borderId="24" xfId="1" applyNumberFormat="1" applyFont="1" applyFill="1" applyBorder="1" applyAlignment="1" applyProtection="1">
      <alignment horizontal="right" vertical="center"/>
    </xf>
    <xf numFmtId="0" fontId="21" fillId="0" borderId="29" xfId="0" applyFont="1" applyBorder="1" applyAlignment="1" applyProtection="1">
      <alignment horizontal="center" vertical="center"/>
      <protection locked="0"/>
    </xf>
    <xf numFmtId="165" fontId="21" fillId="0" borderId="31" xfId="1" applyNumberFormat="1" applyFont="1" applyFill="1" applyBorder="1" applyAlignment="1" applyProtection="1">
      <alignment horizontal="right" vertical="center"/>
    </xf>
    <xf numFmtId="0" fontId="23" fillId="0" borderId="0" xfId="0" applyFont="1" applyAlignment="1">
      <alignment vertical="center"/>
    </xf>
    <xf numFmtId="43" fontId="11" fillId="0" borderId="0" xfId="0" applyNumberFormat="1" applyFont="1" applyAlignment="1" applyProtection="1">
      <alignment horizontal="center" vertical="center"/>
      <protection locked="0"/>
    </xf>
    <xf numFmtId="37" fontId="21" fillId="0" borderId="41" xfId="4" applyNumberFormat="1" applyFont="1" applyFill="1" applyBorder="1" applyAlignment="1" applyProtection="1">
      <alignment vertical="center"/>
    </xf>
    <xf numFmtId="165" fontId="21" fillId="0" borderId="41" xfId="1" applyNumberFormat="1" applyFont="1" applyFill="1" applyBorder="1" applyAlignment="1" applyProtection="1">
      <alignment vertical="center"/>
    </xf>
    <xf numFmtId="3" fontId="20" fillId="0" borderId="0" xfId="0" applyNumberFormat="1" applyFont="1" applyAlignment="1">
      <alignment vertical="center"/>
    </xf>
    <xf numFmtId="0" fontId="20" fillId="0" borderId="0" xfId="0" applyFont="1" applyAlignment="1" applyProtection="1">
      <alignment vertical="center"/>
      <protection locked="0"/>
    </xf>
    <xf numFmtId="0" fontId="20" fillId="0" borderId="0" xfId="0" applyFont="1" applyAlignment="1" applyProtection="1">
      <alignment horizontal="left" vertical="center"/>
      <protection locked="0"/>
    </xf>
    <xf numFmtId="0" fontId="11" fillId="0" borderId="0" xfId="0" applyFont="1" applyAlignment="1" applyProtection="1">
      <alignment horizontal="center" vertical="center"/>
      <protection locked="0"/>
    </xf>
    <xf numFmtId="0" fontId="24" fillId="0" borderId="0" xfId="6" applyFont="1" applyAlignment="1">
      <alignment vertical="center"/>
    </xf>
    <xf numFmtId="0" fontId="24" fillId="0" borderId="0" xfId="6" quotePrefix="1" applyFont="1" applyAlignment="1" applyProtection="1">
      <alignment horizontal="left" vertical="center"/>
      <protection locked="0"/>
    </xf>
    <xf numFmtId="43" fontId="10" fillId="0" borderId="0" xfId="0" applyNumberFormat="1" applyFont="1" applyAlignment="1" applyProtection="1">
      <alignment vertical="center"/>
      <protection locked="0"/>
    </xf>
    <xf numFmtId="0" fontId="24" fillId="0" borderId="0" xfId="6" applyFont="1" applyAlignment="1" applyProtection="1">
      <alignment vertical="center"/>
      <protection locked="0"/>
    </xf>
    <xf numFmtId="37" fontId="21" fillId="0" borderId="31" xfId="5" applyNumberFormat="1" applyFont="1" applyFill="1" applyBorder="1" applyAlignment="1" applyProtection="1">
      <alignment horizontal="right" vertical="center"/>
    </xf>
    <xf numFmtId="37" fontId="20" fillId="0" borderId="0" xfId="0" applyNumberFormat="1" applyFont="1" applyAlignment="1">
      <alignment vertical="center"/>
    </xf>
    <xf numFmtId="3" fontId="10" fillId="0" borderId="0" xfId="0" applyNumberFormat="1" applyFont="1" applyAlignment="1">
      <alignment vertical="center"/>
    </xf>
    <xf numFmtId="0" fontId="10" fillId="0" borderId="28" xfId="0" applyFont="1" applyBorder="1" applyAlignment="1" applyProtection="1">
      <alignment horizontal="left" vertical="center"/>
      <protection locked="0"/>
    </xf>
    <xf numFmtId="165" fontId="21" fillId="0" borderId="38" xfId="1" applyNumberFormat="1" applyFont="1" applyFill="1" applyBorder="1" applyAlignment="1" applyProtection="1">
      <alignment vertical="center" wrapText="1"/>
    </xf>
    <xf numFmtId="165" fontId="21" fillId="0" borderId="31" xfId="1" applyNumberFormat="1" applyFont="1" applyFill="1" applyBorder="1" applyAlignment="1" applyProtection="1">
      <alignment vertical="center" wrapText="1"/>
    </xf>
    <xf numFmtId="0" fontId="10" fillId="0" borderId="47" xfId="0" quotePrefix="1" applyFont="1" applyBorder="1" applyAlignment="1" applyProtection="1">
      <alignment horizontal="left" vertical="center" wrapText="1"/>
      <protection locked="0"/>
    </xf>
    <xf numFmtId="0" fontId="10" fillId="0" borderId="48" xfId="0" quotePrefix="1" applyFont="1" applyBorder="1" applyAlignment="1" applyProtection="1">
      <alignment horizontal="left" vertical="center" wrapText="1"/>
      <protection locked="0"/>
    </xf>
    <xf numFmtId="0" fontId="10" fillId="0" borderId="49" xfId="0" applyFont="1" applyBorder="1" applyAlignment="1" applyProtection="1">
      <alignment horizontal="left" vertical="center" wrapText="1"/>
      <protection locked="0"/>
    </xf>
    <xf numFmtId="165" fontId="21" fillId="8" borderId="31" xfId="1" applyNumberFormat="1" applyFont="1" applyFill="1" applyBorder="1" applyAlignment="1" applyProtection="1">
      <alignment horizontal="right" vertical="center"/>
    </xf>
    <xf numFmtId="0" fontId="7" fillId="0" borderId="50" xfId="0" applyFont="1" applyBorder="1" applyAlignment="1" applyProtection="1">
      <alignment horizontal="left" vertical="center" wrapText="1"/>
      <protection locked="0"/>
    </xf>
    <xf numFmtId="0" fontId="7" fillId="0" borderId="51" xfId="0" applyFont="1" applyBorder="1" applyAlignment="1" applyProtection="1">
      <alignment horizontal="left" vertical="center" wrapText="1"/>
      <protection locked="0"/>
    </xf>
    <xf numFmtId="0" fontId="7" fillId="0" borderId="49" xfId="0" applyFont="1" applyBorder="1" applyAlignment="1" applyProtection="1">
      <alignment horizontal="left" vertical="center" wrapText="1"/>
      <protection locked="0"/>
    </xf>
    <xf numFmtId="0" fontId="7" fillId="0" borderId="52" xfId="0" applyFont="1" applyBorder="1" applyAlignment="1" applyProtection="1">
      <alignment horizontal="center" vertical="center" wrapText="1"/>
      <protection locked="0"/>
    </xf>
    <xf numFmtId="0" fontId="7" fillId="0" borderId="53" xfId="0" applyFont="1" applyBorder="1" applyAlignment="1" applyProtection="1">
      <alignment horizontal="center" vertical="center" wrapText="1"/>
      <protection locked="0"/>
    </xf>
    <xf numFmtId="0" fontId="7" fillId="0" borderId="54" xfId="0" applyFont="1" applyBorder="1" applyAlignment="1" applyProtection="1">
      <alignment horizontal="center" vertical="center" wrapText="1"/>
      <protection locked="0"/>
    </xf>
    <xf numFmtId="165" fontId="21" fillId="8" borderId="38" xfId="1" applyNumberFormat="1" applyFont="1" applyFill="1" applyBorder="1" applyAlignment="1" applyProtection="1">
      <alignment horizontal="right" vertical="center"/>
    </xf>
    <xf numFmtId="165" fontId="21" fillId="8" borderId="30" xfId="1" applyNumberFormat="1" applyFont="1" applyFill="1" applyBorder="1" applyAlignment="1" applyProtection="1">
      <alignment horizontal="right" vertical="center"/>
    </xf>
    <xf numFmtId="0" fontId="7" fillId="0" borderId="39" xfId="0" applyFont="1" applyBorder="1" applyAlignment="1" applyProtection="1">
      <alignment vertical="center" wrapText="1"/>
      <protection locked="0"/>
    </xf>
    <xf numFmtId="0" fontId="21" fillId="8" borderId="41" xfId="1" applyNumberFormat="1" applyFont="1" applyFill="1" applyBorder="1" applyAlignment="1" applyProtection="1">
      <alignment horizontal="right" vertical="center"/>
    </xf>
    <xf numFmtId="0" fontId="7" fillId="0" borderId="29" xfId="0" applyFont="1" applyBorder="1" applyAlignment="1" applyProtection="1">
      <alignment vertical="center" wrapText="1"/>
      <protection locked="0"/>
    </xf>
    <xf numFmtId="165" fontId="21" fillId="8" borderId="55" xfId="1" applyNumberFormat="1" applyFont="1" applyFill="1" applyBorder="1" applyAlignment="1" applyProtection="1">
      <alignment horizontal="right" vertical="center"/>
    </xf>
    <xf numFmtId="165" fontId="21" fillId="8" borderId="56" xfId="1" applyNumberFormat="1" applyFont="1" applyFill="1" applyBorder="1" applyAlignment="1" applyProtection="1">
      <alignment horizontal="right" vertical="center"/>
    </xf>
    <xf numFmtId="0" fontId="7" fillId="0" borderId="36" xfId="0" applyFont="1" applyBorder="1" applyAlignment="1" applyProtection="1">
      <alignment vertical="center" wrapText="1"/>
      <protection locked="0"/>
    </xf>
    <xf numFmtId="0" fontId="7" fillId="0" borderId="37" xfId="0" applyFont="1" applyBorder="1" applyAlignment="1" applyProtection="1">
      <alignment vertical="center" wrapText="1"/>
      <protection locked="0"/>
    </xf>
    <xf numFmtId="0" fontId="7" fillId="0" borderId="33" xfId="0" applyFont="1" applyBorder="1" applyAlignment="1" applyProtection="1">
      <alignment horizontal="left" vertical="center" wrapText="1"/>
      <protection locked="0"/>
    </xf>
    <xf numFmtId="0" fontId="13" fillId="7" borderId="0" xfId="0" applyFont="1" applyFill="1" applyAlignment="1" applyProtection="1">
      <alignment vertical="center" wrapText="1"/>
      <protection locked="0"/>
    </xf>
    <xf numFmtId="0" fontId="21" fillId="0" borderId="28" xfId="0" applyFont="1" applyBorder="1" applyAlignment="1" applyProtection="1">
      <alignment horizontal="center" vertical="center" wrapText="1"/>
      <protection locked="0"/>
    </xf>
    <xf numFmtId="0" fontId="21" fillId="0" borderId="29" xfId="0" applyFont="1" applyBorder="1" applyAlignment="1" applyProtection="1">
      <alignment horizontal="center" vertical="center" wrapText="1"/>
      <protection locked="0"/>
    </xf>
    <xf numFmtId="165" fontId="21" fillId="8" borderId="28" xfId="1" applyNumberFormat="1" applyFont="1" applyFill="1" applyBorder="1" applyAlignment="1" applyProtection="1">
      <alignment horizontal="right" vertical="center"/>
    </xf>
    <xf numFmtId="0" fontId="10" fillId="0" borderId="28" xfId="0" applyFont="1" applyBorder="1" applyAlignment="1" applyProtection="1">
      <alignment vertical="center" wrapText="1"/>
      <protection locked="0"/>
    </xf>
    <xf numFmtId="0" fontId="7" fillId="8" borderId="28" xfId="3" applyFont="1" applyFill="1" applyBorder="1" applyAlignment="1" applyProtection="1">
      <alignment horizontal="left" vertical="center" wrapText="1"/>
      <protection locked="0"/>
    </xf>
    <xf numFmtId="0" fontId="7" fillId="8" borderId="4" xfId="3" applyFont="1" applyFill="1" applyBorder="1" applyAlignment="1" applyProtection="1">
      <alignment horizontal="left" vertical="center" wrapText="1"/>
      <protection locked="0"/>
    </xf>
    <xf numFmtId="165" fontId="7" fillId="8" borderId="29" xfId="1" applyNumberFormat="1" applyFont="1" applyFill="1" applyBorder="1" applyAlignment="1" applyProtection="1">
      <alignment horizontal="right" vertical="center"/>
    </xf>
    <xf numFmtId="165" fontId="7" fillId="0" borderId="31" xfId="0" applyNumberFormat="1" applyFont="1" applyBorder="1" applyAlignment="1" applyProtection="1">
      <alignment horizontal="center" vertical="center" wrapText="1"/>
      <protection locked="0"/>
    </xf>
    <xf numFmtId="0" fontId="10" fillId="0" borderId="55" xfId="0" applyFont="1" applyBorder="1" applyAlignment="1" applyProtection="1">
      <alignment vertical="center" wrapText="1"/>
      <protection locked="0"/>
    </xf>
    <xf numFmtId="0" fontId="7" fillId="0" borderId="36" xfId="0" applyFont="1" applyBorder="1" applyAlignment="1" applyProtection="1">
      <alignment horizontal="center" vertical="center" wrapText="1"/>
      <protection locked="0"/>
    </xf>
    <xf numFmtId="0" fontId="7" fillId="0" borderId="37" xfId="0" applyFont="1" applyBorder="1" applyAlignment="1" applyProtection="1">
      <alignment horizontal="center" vertical="center"/>
      <protection locked="0"/>
    </xf>
    <xf numFmtId="0" fontId="7" fillId="0" borderId="33" xfId="0" applyFont="1" applyBorder="1" applyAlignment="1" applyProtection="1">
      <alignment horizontal="center" vertical="center"/>
      <protection locked="0"/>
    </xf>
    <xf numFmtId="0" fontId="21" fillId="8" borderId="4" xfId="1" applyNumberFormat="1" applyFont="1" applyFill="1" applyBorder="1" applyAlignment="1" applyProtection="1">
      <alignment horizontal="right" vertical="center" wrapText="1"/>
    </xf>
    <xf numFmtId="0" fontId="21" fillId="8" borderId="29" xfId="1" applyNumberFormat="1" applyFont="1" applyFill="1" applyBorder="1" applyAlignment="1" applyProtection="1">
      <alignment horizontal="right" vertical="center" wrapText="1"/>
    </xf>
    <xf numFmtId="0" fontId="21" fillId="8" borderId="38" xfId="1" applyNumberFormat="1" applyFont="1" applyFill="1" applyBorder="1" applyAlignment="1" applyProtection="1">
      <alignment horizontal="right" vertical="center" wrapText="1"/>
    </xf>
    <xf numFmtId="0" fontId="21" fillId="8" borderId="31" xfId="1" applyNumberFormat="1" applyFont="1" applyFill="1" applyBorder="1" applyAlignment="1" applyProtection="1">
      <alignment horizontal="right" vertical="center" wrapText="1"/>
    </xf>
    <xf numFmtId="0" fontId="7" fillId="0" borderId="59" xfId="0" applyFont="1" applyBorder="1" applyAlignment="1" applyProtection="1">
      <alignment horizontal="left" vertical="center" wrapText="1"/>
      <protection locked="0"/>
    </xf>
    <xf numFmtId="0" fontId="7" fillId="0" borderId="60" xfId="0" applyFont="1" applyBorder="1" applyAlignment="1" applyProtection="1">
      <alignment horizontal="left" vertical="center" wrapText="1"/>
      <protection locked="0"/>
    </xf>
    <xf numFmtId="0" fontId="7" fillId="0" borderId="61" xfId="0" applyFont="1" applyBorder="1" applyAlignment="1" applyProtection="1">
      <alignment vertical="center" wrapText="1"/>
      <protection locked="0"/>
    </xf>
    <xf numFmtId="0" fontId="7" fillId="0" borderId="62" xfId="0" applyFont="1" applyBorder="1" applyAlignment="1" applyProtection="1">
      <alignment horizontal="left" vertical="center" wrapText="1"/>
      <protection locked="0"/>
    </xf>
    <xf numFmtId="0" fontId="10" fillId="0" borderId="64" xfId="0" applyFont="1" applyBorder="1" applyAlignment="1" applyProtection="1">
      <alignment vertical="center"/>
      <protection locked="0"/>
    </xf>
    <xf numFmtId="0" fontId="10" fillId="0" borderId="25" xfId="0" applyFont="1" applyBorder="1" applyAlignment="1" applyProtection="1">
      <alignment vertical="center"/>
      <protection locked="0"/>
    </xf>
    <xf numFmtId="165" fontId="10" fillId="0" borderId="65" xfId="1" applyNumberFormat="1" applyFont="1" applyBorder="1" applyAlignment="1" applyProtection="1">
      <alignment horizontal="center" vertical="center"/>
      <protection locked="0"/>
    </xf>
    <xf numFmtId="0" fontId="10" fillId="0" borderId="64" xfId="0" applyFont="1" applyBorder="1" applyAlignment="1">
      <alignment vertical="center"/>
    </xf>
    <xf numFmtId="0" fontId="10" fillId="0" borderId="28" xfId="0" applyFont="1" applyBorder="1" applyAlignment="1" applyProtection="1">
      <alignment horizontal="left" vertical="center" wrapText="1"/>
      <protection locked="0"/>
    </xf>
    <xf numFmtId="0" fontId="7" fillId="0" borderId="38" xfId="0" applyFont="1" applyBorder="1" applyAlignment="1" applyProtection="1">
      <alignment horizontal="left" vertical="center" wrapText="1"/>
      <protection locked="0"/>
    </xf>
    <xf numFmtId="0" fontId="7" fillId="0" borderId="38" xfId="0" applyFont="1" applyBorder="1" applyAlignment="1" applyProtection="1">
      <alignment vertical="center" wrapText="1"/>
      <protection locked="0"/>
    </xf>
    <xf numFmtId="0" fontId="7" fillId="0" borderId="31" xfId="0" applyFont="1" applyBorder="1" applyAlignment="1" applyProtection="1">
      <alignment vertical="center" wrapText="1"/>
      <protection locked="0"/>
    </xf>
    <xf numFmtId="0" fontId="7" fillId="0" borderId="67" xfId="0" applyFont="1" applyBorder="1" applyAlignment="1" applyProtection="1">
      <alignment vertical="center" wrapText="1"/>
      <protection locked="0"/>
    </xf>
    <xf numFmtId="0" fontId="7" fillId="0" borderId="68" xfId="0" applyFont="1" applyBorder="1" applyAlignment="1" applyProtection="1">
      <alignment vertical="center" wrapText="1"/>
      <protection locked="0"/>
    </xf>
    <xf numFmtId="0" fontId="10" fillId="0" borderId="29" xfId="0" applyFont="1" applyBorder="1" applyAlignment="1" applyProtection="1">
      <alignment vertical="center"/>
      <protection locked="0"/>
    </xf>
    <xf numFmtId="165" fontId="21" fillId="8" borderId="40" xfId="1" applyNumberFormat="1" applyFont="1" applyFill="1" applyBorder="1" applyAlignment="1" applyProtection="1">
      <alignment horizontal="right" vertical="center"/>
    </xf>
    <xf numFmtId="165" fontId="21" fillId="8" borderId="41" xfId="1" applyNumberFormat="1" applyFont="1" applyFill="1" applyBorder="1" applyAlignment="1" applyProtection="1">
      <alignment horizontal="right" vertical="center"/>
    </xf>
    <xf numFmtId="37" fontId="7" fillId="0" borderId="29" xfId="5" applyNumberFormat="1" applyFont="1" applyFill="1" applyBorder="1" applyAlignment="1" applyProtection="1">
      <alignment horizontal="right" vertical="center"/>
    </xf>
    <xf numFmtId="165" fontId="7" fillId="0" borderId="38" xfId="5" applyNumberFormat="1" applyFont="1" applyFill="1" applyBorder="1" applyAlignment="1" applyProtection="1">
      <alignment horizontal="right" vertical="center"/>
    </xf>
    <xf numFmtId="165" fontId="7" fillId="0" borderId="31" xfId="5" applyNumberFormat="1" applyFont="1" applyFill="1" applyBorder="1" applyAlignment="1" applyProtection="1">
      <alignment horizontal="right" vertical="center"/>
    </xf>
    <xf numFmtId="0" fontId="7" fillId="0" borderId="66" xfId="0" applyFont="1" applyBorder="1" applyAlignment="1" applyProtection="1">
      <alignment horizontal="left" vertical="center"/>
      <protection locked="0"/>
    </xf>
    <xf numFmtId="37" fontId="7" fillId="0" borderId="11" xfId="4" applyNumberFormat="1" applyFont="1" applyFill="1" applyBorder="1" applyAlignment="1" applyProtection="1">
      <alignment horizontal="right" vertical="center"/>
    </xf>
    <xf numFmtId="37" fontId="7" fillId="0" borderId="69" xfId="5" applyNumberFormat="1" applyFont="1" applyFill="1" applyBorder="1" applyAlignment="1" applyProtection="1">
      <alignment horizontal="right" vertical="center"/>
    </xf>
    <xf numFmtId="0" fontId="7" fillId="0" borderId="39" xfId="0" applyFont="1" applyBorder="1" applyAlignment="1" applyProtection="1">
      <alignment horizontal="left" vertical="center"/>
      <protection locked="0"/>
    </xf>
    <xf numFmtId="0" fontId="11" fillId="0" borderId="41" xfId="0" applyFont="1" applyBorder="1" applyAlignment="1" applyProtection="1">
      <alignment horizontal="center" vertical="center"/>
      <protection locked="0"/>
    </xf>
    <xf numFmtId="0" fontId="10" fillId="0" borderId="30" xfId="0" applyFont="1" applyBorder="1" applyAlignment="1" applyProtection="1">
      <alignment horizontal="left" vertical="center"/>
      <protection locked="0"/>
    </xf>
    <xf numFmtId="165" fontId="21" fillId="8" borderId="40" xfId="1" applyNumberFormat="1" applyFont="1" applyFill="1" applyBorder="1" applyAlignment="1" applyProtection="1">
      <alignment horizontal="center" vertical="center"/>
    </xf>
    <xf numFmtId="165" fontId="21" fillId="8" borderId="41" xfId="1" applyNumberFormat="1" applyFont="1" applyFill="1" applyBorder="1" applyAlignment="1" applyProtection="1">
      <alignment horizontal="center" vertical="center"/>
    </xf>
    <xf numFmtId="0" fontId="7" fillId="0" borderId="28" xfId="0" applyFont="1" applyBorder="1" applyAlignment="1">
      <alignment vertical="center"/>
    </xf>
    <xf numFmtId="0" fontId="7" fillId="0" borderId="30" xfId="0" applyFont="1" applyBorder="1" applyAlignment="1">
      <alignment vertical="center"/>
    </xf>
    <xf numFmtId="3" fontId="7" fillId="0" borderId="38" xfId="5" applyNumberFormat="1" applyFont="1" applyFill="1" applyBorder="1" applyAlignment="1">
      <alignment vertical="center"/>
    </xf>
    <xf numFmtId="37" fontId="7" fillId="0" borderId="31" xfId="5" applyNumberFormat="1" applyFont="1" applyFill="1" applyBorder="1" applyAlignment="1" applyProtection="1">
      <alignment horizontal="right" vertical="center"/>
    </xf>
    <xf numFmtId="0" fontId="7" fillId="0" borderId="66" xfId="0" applyFont="1" applyBorder="1" applyAlignment="1">
      <alignment vertical="center"/>
    </xf>
    <xf numFmtId="165" fontId="12" fillId="0" borderId="11" xfId="4" applyNumberFormat="1" applyFont="1" applyFill="1" applyBorder="1" applyAlignment="1">
      <alignment horizontal="center" vertical="center"/>
    </xf>
    <xf numFmtId="0" fontId="12" fillId="0" borderId="69" xfId="0" applyFont="1" applyBorder="1" applyAlignment="1" applyProtection="1">
      <alignment horizontal="center" vertical="center"/>
      <protection locked="0"/>
    </xf>
    <xf numFmtId="0" fontId="7" fillId="0" borderId="36" xfId="0" applyFont="1" applyBorder="1" applyAlignment="1">
      <alignment vertical="center"/>
    </xf>
    <xf numFmtId="165" fontId="12" fillId="0" borderId="37" xfId="4" applyNumberFormat="1" applyFont="1" applyFill="1" applyBorder="1" applyAlignment="1">
      <alignment horizontal="center" vertical="center"/>
    </xf>
    <xf numFmtId="165" fontId="12" fillId="0" borderId="33" xfId="4" applyNumberFormat="1" applyFont="1" applyFill="1" applyBorder="1" applyAlignment="1">
      <alignment horizontal="center" vertical="center"/>
    </xf>
    <xf numFmtId="37" fontId="7" fillId="0" borderId="38" xfId="5" applyNumberFormat="1" applyFont="1" applyFill="1" applyBorder="1" applyAlignment="1" applyProtection="1">
      <alignment horizontal="right" vertical="center"/>
    </xf>
    <xf numFmtId="165" fontId="21" fillId="8" borderId="9" xfId="1" applyNumberFormat="1" applyFont="1" applyFill="1" applyBorder="1" applyAlignment="1" applyProtection="1">
      <alignment horizontal="right" vertical="center"/>
    </xf>
    <xf numFmtId="3" fontId="7" fillId="0" borderId="4" xfId="4" applyNumberFormat="1" applyFont="1" applyFill="1" applyBorder="1" applyAlignment="1" applyProtection="1">
      <alignment vertical="center"/>
    </xf>
    <xf numFmtId="0" fontId="7" fillId="0" borderId="36" xfId="0" applyFont="1" applyBorder="1" applyAlignment="1" applyProtection="1">
      <alignment vertical="center"/>
      <protection locked="0"/>
    </xf>
    <xf numFmtId="0" fontId="7" fillId="0" borderId="28" xfId="0" applyFont="1" applyBorder="1" applyAlignment="1" applyProtection="1">
      <alignment vertical="center"/>
      <protection locked="0"/>
    </xf>
    <xf numFmtId="0" fontId="7" fillId="0" borderId="30" xfId="0" applyFont="1" applyBorder="1" applyAlignment="1" applyProtection="1">
      <alignment horizontal="left" vertical="center"/>
      <protection locked="0"/>
    </xf>
    <xf numFmtId="0" fontId="7" fillId="0" borderId="28" xfId="0" applyFont="1" applyBorder="1" applyAlignment="1">
      <alignment vertical="center" wrapText="1"/>
    </xf>
    <xf numFmtId="0" fontId="7" fillId="0" borderId="30" xfId="0" applyFont="1" applyBorder="1" applyAlignment="1">
      <alignment vertical="center" wrapText="1"/>
    </xf>
    <xf numFmtId="165" fontId="7" fillId="0" borderId="38" xfId="5" applyNumberFormat="1" applyFont="1" applyFill="1" applyBorder="1" applyAlignment="1">
      <alignment vertical="center"/>
    </xf>
    <xf numFmtId="165" fontId="7" fillId="0" borderId="31" xfId="5" applyNumberFormat="1" applyFont="1" applyFill="1" applyBorder="1" applyAlignment="1">
      <alignment vertical="center"/>
    </xf>
    <xf numFmtId="165" fontId="7" fillId="0" borderId="4" xfId="5" applyNumberFormat="1" applyFont="1" applyFill="1" applyBorder="1" applyAlignment="1" applyProtection="1">
      <alignment vertical="center"/>
    </xf>
    <xf numFmtId="165" fontId="7" fillId="0" borderId="0" xfId="5" applyNumberFormat="1" applyFont="1" applyFill="1" applyBorder="1" applyAlignment="1" applyProtection="1">
      <alignment vertical="center"/>
    </xf>
    <xf numFmtId="0" fontId="7" fillId="0" borderId="29" xfId="0" applyFont="1" applyBorder="1" applyAlignment="1">
      <alignment vertical="center"/>
    </xf>
    <xf numFmtId="165" fontId="7" fillId="0" borderId="29" xfId="5" applyNumberFormat="1" applyFont="1" applyFill="1" applyBorder="1" applyAlignment="1" applyProtection="1">
      <alignment vertical="center"/>
    </xf>
    <xf numFmtId="165" fontId="7" fillId="0" borderId="38" xfId="5" applyNumberFormat="1" applyFont="1" applyFill="1" applyBorder="1" applyAlignment="1" applyProtection="1">
      <alignment vertical="center"/>
    </xf>
    <xf numFmtId="165" fontId="7" fillId="0" borderId="31" xfId="5" applyNumberFormat="1" applyFont="1" applyFill="1" applyBorder="1" applyAlignment="1" applyProtection="1">
      <alignment vertical="center"/>
    </xf>
    <xf numFmtId="0" fontId="28" fillId="0" borderId="0" xfId="0" applyFont="1" applyAlignment="1">
      <alignment vertical="center" wrapText="1"/>
    </xf>
    <xf numFmtId="0" fontId="29" fillId="0" borderId="28" xfId="0" applyFont="1" applyBorder="1" applyAlignment="1">
      <alignment vertical="center" wrapText="1"/>
    </xf>
    <xf numFmtId="165" fontId="21" fillId="8" borderId="69" xfId="1" applyNumberFormat="1" applyFont="1" applyFill="1" applyBorder="1" applyAlignment="1" applyProtection="1">
      <alignment horizontal="right" vertical="center"/>
    </xf>
    <xf numFmtId="0" fontId="7" fillId="0" borderId="70" xfId="0" applyFont="1" applyBorder="1" applyAlignment="1" applyProtection="1">
      <alignment horizontal="left" vertical="center"/>
      <protection locked="0"/>
    </xf>
    <xf numFmtId="0" fontId="7" fillId="0" borderId="57" xfId="0" applyFont="1" applyBorder="1" applyAlignment="1" applyProtection="1">
      <alignment vertical="center"/>
      <protection locked="0"/>
    </xf>
    <xf numFmtId="165" fontId="12" fillId="0" borderId="43" xfId="4" applyNumberFormat="1" applyFont="1" applyFill="1" applyBorder="1" applyAlignment="1">
      <alignment horizontal="center" vertical="center"/>
    </xf>
    <xf numFmtId="0" fontId="10" fillId="0" borderId="36" xfId="0" applyFont="1" applyBorder="1" applyAlignment="1" applyProtection="1">
      <alignment vertical="center" wrapText="1"/>
      <protection locked="0"/>
    </xf>
    <xf numFmtId="165" fontId="21" fillId="8" borderId="37" xfId="1" applyNumberFormat="1" applyFont="1" applyFill="1" applyBorder="1" applyAlignment="1" applyProtection="1">
      <alignment horizontal="right" vertical="center"/>
    </xf>
    <xf numFmtId="165" fontId="21" fillId="8" borderId="33" xfId="1" applyNumberFormat="1" applyFont="1" applyFill="1" applyBorder="1" applyAlignment="1" applyProtection="1">
      <alignment horizontal="right" vertical="center"/>
    </xf>
    <xf numFmtId="0" fontId="10" fillId="0" borderId="28" xfId="0" applyFont="1" applyBorder="1" applyAlignment="1" applyProtection="1">
      <alignment vertical="center"/>
      <protection locked="0"/>
    </xf>
    <xf numFmtId="0" fontId="10" fillId="0" borderId="30" xfId="0" applyFont="1" applyBorder="1" applyAlignment="1" applyProtection="1">
      <alignment vertical="center"/>
      <protection locked="0"/>
    </xf>
    <xf numFmtId="0" fontId="10" fillId="0" borderId="26" xfId="0" applyFont="1" applyBorder="1" applyAlignment="1" applyProtection="1">
      <alignment vertical="center"/>
      <protection locked="0"/>
    </xf>
    <xf numFmtId="0" fontId="10" fillId="0" borderId="55" xfId="0" applyFont="1" applyBorder="1" applyAlignment="1" applyProtection="1">
      <alignment horizontal="left" vertical="center"/>
      <protection locked="0"/>
    </xf>
    <xf numFmtId="0" fontId="10" fillId="0" borderId="36" xfId="0" applyFont="1" applyBorder="1" applyAlignment="1" applyProtection="1">
      <alignment vertical="center"/>
      <protection locked="0"/>
    </xf>
    <xf numFmtId="0" fontId="10" fillId="0" borderId="30" xfId="0" applyFont="1" applyBorder="1" applyAlignment="1" applyProtection="1">
      <alignment horizontal="left" vertical="center" wrapText="1"/>
      <protection locked="0"/>
    </xf>
    <xf numFmtId="0" fontId="7" fillId="0" borderId="36" xfId="0" applyFont="1" applyBorder="1" applyAlignment="1" applyProtection="1">
      <alignment horizontal="left" vertical="center" wrapText="1"/>
      <protection locked="0"/>
    </xf>
    <xf numFmtId="10" fontId="7" fillId="0" borderId="33" xfId="2" applyNumberFormat="1" applyFont="1" applyFill="1" applyBorder="1" applyAlignment="1" applyProtection="1">
      <alignment horizontal="right" vertical="center"/>
    </xf>
    <xf numFmtId="165" fontId="7" fillId="0" borderId="29" xfId="1" applyNumberFormat="1" applyFont="1" applyFill="1" applyBorder="1" applyAlignment="1" applyProtection="1">
      <alignment horizontal="right" vertical="center"/>
    </xf>
    <xf numFmtId="165" fontId="7" fillId="0" borderId="29" xfId="1" applyNumberFormat="1" applyFont="1" applyFill="1" applyBorder="1" applyAlignment="1" applyProtection="1">
      <alignment horizontal="right" vertical="center"/>
      <protection locked="0"/>
    </xf>
    <xf numFmtId="165" fontId="7" fillId="0" borderId="31" xfId="1" applyNumberFormat="1" applyFont="1" applyFill="1" applyBorder="1" applyAlignment="1" applyProtection="1">
      <alignment horizontal="right" vertical="center"/>
    </xf>
    <xf numFmtId="0" fontId="10" fillId="0" borderId="36" xfId="0" applyFont="1" applyBorder="1" applyAlignment="1" applyProtection="1">
      <alignment horizontal="left" vertical="center" wrapText="1"/>
      <protection locked="0"/>
    </xf>
    <xf numFmtId="0" fontId="7" fillId="0" borderId="55" xfId="0" applyFont="1" applyBorder="1" applyAlignment="1" applyProtection="1">
      <alignment horizontal="left" vertical="center" wrapText="1"/>
      <protection locked="0"/>
    </xf>
    <xf numFmtId="166" fontId="7" fillId="0" borderId="56" xfId="2" applyNumberFormat="1" applyFont="1" applyFill="1" applyBorder="1" applyAlignment="1" applyProtection="1">
      <alignment vertical="center" wrapText="1"/>
    </xf>
    <xf numFmtId="0" fontId="26" fillId="0" borderId="22" xfId="0" applyFont="1" applyBorder="1" applyAlignment="1" applyProtection="1">
      <alignment vertical="center"/>
      <protection locked="0"/>
    </xf>
    <xf numFmtId="165" fontId="12" fillId="0" borderId="40" xfId="4" applyNumberFormat="1" applyFont="1" applyFill="1" applyBorder="1" applyAlignment="1">
      <alignment horizontal="center" vertical="center"/>
    </xf>
    <xf numFmtId="0" fontId="11" fillId="0" borderId="23" xfId="0" applyFont="1" applyBorder="1" applyAlignment="1" applyProtection="1">
      <alignment horizontal="center" vertical="center"/>
      <protection locked="0"/>
    </xf>
    <xf numFmtId="165" fontId="7" fillId="0" borderId="33" xfId="1" applyNumberFormat="1" applyFont="1" applyFill="1" applyBorder="1" applyAlignment="1" applyProtection="1">
      <alignment horizontal="right" vertical="center"/>
    </xf>
    <xf numFmtId="0" fontId="10" fillId="0" borderId="22" xfId="0" applyFont="1" applyBorder="1" applyAlignment="1">
      <alignment vertical="center"/>
    </xf>
    <xf numFmtId="3" fontId="7" fillId="0" borderId="4" xfId="3" applyNumberFormat="1" applyFont="1" applyFill="1" applyBorder="1" applyAlignment="1" applyProtection="1">
      <alignment vertical="center" wrapText="1"/>
      <protection locked="0"/>
    </xf>
    <xf numFmtId="0" fontId="7" fillId="0" borderId="26" xfId="0" applyFont="1" applyBorder="1" applyAlignment="1" applyProtection="1">
      <alignment vertical="center" wrapText="1"/>
      <protection locked="0"/>
    </xf>
    <xf numFmtId="0" fontId="7" fillId="0" borderId="71" xfId="0" applyFont="1" applyBorder="1" applyAlignment="1" applyProtection="1">
      <alignment horizontal="left" vertical="center" wrapText="1"/>
      <protection locked="0"/>
    </xf>
    <xf numFmtId="0" fontId="7" fillId="0" borderId="58" xfId="0" applyFont="1" applyBorder="1" applyAlignment="1" applyProtection="1">
      <alignment horizontal="left" vertical="center" wrapText="1"/>
      <protection locked="0"/>
    </xf>
    <xf numFmtId="3" fontId="7" fillId="0" borderId="37" xfId="3" applyNumberFormat="1" applyFont="1" applyFill="1" applyBorder="1" applyAlignment="1" applyProtection="1">
      <alignment vertical="center" wrapText="1"/>
      <protection locked="0"/>
    </xf>
    <xf numFmtId="165" fontId="7" fillId="0" borderId="33" xfId="5" applyNumberFormat="1" applyFont="1" applyFill="1" applyBorder="1" applyAlignment="1" applyProtection="1">
      <alignment vertical="center" wrapText="1"/>
    </xf>
    <xf numFmtId="165" fontId="7" fillId="0" borderId="29" xfId="5" applyNumberFormat="1" applyFont="1" applyFill="1" applyBorder="1" applyAlignment="1" applyProtection="1">
      <alignment vertical="center" wrapText="1"/>
    </xf>
    <xf numFmtId="0" fontId="7" fillId="0" borderId="29" xfId="5" applyFont="1" applyFill="1" applyBorder="1" applyAlignment="1" applyProtection="1">
      <alignment vertical="center" wrapText="1"/>
    </xf>
    <xf numFmtId="0" fontId="10" fillId="0" borderId="36" xfId="0" applyFont="1" applyBorder="1" applyAlignment="1" applyProtection="1">
      <alignment horizontal="left" vertical="center"/>
      <protection locked="0"/>
    </xf>
    <xf numFmtId="0" fontId="10" fillId="0" borderId="33" xfId="0" applyFont="1" applyBorder="1" applyAlignment="1" applyProtection="1">
      <alignment horizontal="left" vertical="center"/>
      <protection locked="0"/>
    </xf>
    <xf numFmtId="0" fontId="10" fillId="0" borderId="37" xfId="0" applyFont="1" applyBorder="1" applyAlignment="1" applyProtection="1">
      <alignment horizontal="left" vertical="center"/>
      <protection locked="0"/>
    </xf>
    <xf numFmtId="0" fontId="21" fillId="0" borderId="0" xfId="0" applyFont="1"/>
    <xf numFmtId="165" fontId="21" fillId="8" borderId="44" xfId="1" applyNumberFormat="1" applyFont="1" applyFill="1" applyBorder="1" applyAlignment="1" applyProtection="1">
      <alignment horizontal="right" vertical="center"/>
    </xf>
    <xf numFmtId="0" fontId="10" fillId="0" borderId="22" xfId="0" applyFont="1" applyBorder="1" applyAlignment="1">
      <alignment horizontal="left" vertical="center" wrapText="1"/>
    </xf>
    <xf numFmtId="0" fontId="10" fillId="0" borderId="45" xfId="0" applyFont="1" applyBorder="1" applyAlignment="1">
      <alignment horizontal="left" vertical="center" wrapText="1"/>
    </xf>
    <xf numFmtId="0" fontId="10" fillId="0" borderId="23" xfId="0" applyFont="1" applyBorder="1" applyAlignment="1">
      <alignment horizontal="left" vertical="center" wrapText="1"/>
    </xf>
    <xf numFmtId="0" fontId="29" fillId="0" borderId="39" xfId="0" applyFont="1" applyBorder="1" applyAlignment="1">
      <alignment vertical="center" wrapText="1"/>
    </xf>
    <xf numFmtId="0" fontId="29" fillId="0" borderId="40" xfId="0" applyFont="1" applyBorder="1" applyAlignment="1">
      <alignment vertical="center" wrapText="1"/>
    </xf>
    <xf numFmtId="0" fontId="29" fillId="0" borderId="41" xfId="0" applyFont="1" applyBorder="1" applyAlignment="1">
      <alignment vertical="center" wrapText="1"/>
    </xf>
    <xf numFmtId="165" fontId="21" fillId="8" borderId="39" xfId="1" applyNumberFormat="1" applyFont="1" applyFill="1" applyBorder="1" applyAlignment="1" applyProtection="1">
      <alignment horizontal="right" vertical="center"/>
    </xf>
    <xf numFmtId="0" fontId="29" fillId="0" borderId="22" xfId="0" applyFont="1" applyBorder="1" applyAlignment="1">
      <alignment vertical="center" wrapText="1"/>
    </xf>
    <xf numFmtId="0" fontId="29" fillId="0" borderId="45" xfId="0" applyFont="1" applyBorder="1" applyAlignment="1">
      <alignment vertical="center" wrapText="1"/>
    </xf>
    <xf numFmtId="165" fontId="21" fillId="8" borderId="70" xfId="1" applyNumberFormat="1" applyFont="1" applyFill="1" applyBorder="1" applyAlignment="1" applyProtection="1">
      <alignment horizontal="right" vertical="center"/>
    </xf>
    <xf numFmtId="0" fontId="29" fillId="0" borderId="36" xfId="0" applyFont="1" applyBorder="1" applyAlignment="1">
      <alignment vertical="center" wrapText="1"/>
    </xf>
    <xf numFmtId="0" fontId="29" fillId="0" borderId="30" xfId="0" applyFont="1" applyBorder="1" applyAlignment="1">
      <alignment vertical="center" wrapText="1"/>
    </xf>
    <xf numFmtId="0" fontId="29" fillId="0" borderId="55" xfId="0" applyFont="1" applyBorder="1" applyAlignment="1">
      <alignment vertical="center" wrapText="1"/>
    </xf>
    <xf numFmtId="0" fontId="30" fillId="0" borderId="0" xfId="0" applyFont="1"/>
    <xf numFmtId="165" fontId="21" fillId="8" borderId="3" xfId="1" applyNumberFormat="1" applyFont="1" applyFill="1" applyBorder="1" applyAlignment="1" applyProtection="1">
      <alignment horizontal="right" vertical="center"/>
    </xf>
    <xf numFmtId="0" fontId="21" fillId="0" borderId="28" xfId="0" applyFont="1" applyBorder="1"/>
    <xf numFmtId="49" fontId="21" fillId="0" borderId="33" xfId="0" applyNumberFormat="1" applyFont="1" applyBorder="1" applyAlignment="1">
      <alignment horizontal="right"/>
    </xf>
    <xf numFmtId="0" fontId="21" fillId="0" borderId="4" xfId="0" applyFont="1" applyBorder="1" applyAlignment="1">
      <alignment horizontal="right"/>
    </xf>
    <xf numFmtId="0" fontId="21" fillId="0" borderId="36" xfId="0" applyFont="1" applyBorder="1"/>
    <xf numFmtId="0" fontId="21" fillId="0" borderId="33" xfId="0" applyFont="1" applyBorder="1" applyAlignment="1">
      <alignment horizontal="right"/>
    </xf>
    <xf numFmtId="0" fontId="10" fillId="0" borderId="36" xfId="0" applyFont="1" applyBorder="1"/>
    <xf numFmtId="0" fontId="10" fillId="0" borderId="30" xfId="0" applyFont="1" applyBorder="1"/>
    <xf numFmtId="0" fontId="10" fillId="0" borderId="28" xfId="0" applyFont="1" applyBorder="1" applyAlignment="1">
      <alignment vertical="center" wrapText="1"/>
    </xf>
    <xf numFmtId="0" fontId="10" fillId="0" borderId="30" xfId="0" applyFont="1" applyBorder="1" applyAlignment="1">
      <alignment vertical="center" wrapText="1"/>
    </xf>
    <xf numFmtId="0" fontId="13" fillId="0" borderId="0" xfId="0" applyFont="1" applyAlignment="1" applyProtection="1">
      <alignment horizontal="center" vertical="center" wrapText="1"/>
      <protection locked="0"/>
    </xf>
    <xf numFmtId="0" fontId="31" fillId="0" borderId="0" xfId="0" applyFont="1"/>
    <xf numFmtId="0" fontId="29" fillId="0" borderId="0" xfId="0" applyFont="1" applyAlignment="1">
      <alignment vertical="center" wrapText="1"/>
    </xf>
    <xf numFmtId="9" fontId="21" fillId="8" borderId="38" xfId="2" applyFont="1" applyFill="1" applyBorder="1" applyAlignment="1" applyProtection="1">
      <alignment horizontal="right" vertical="center"/>
    </xf>
    <xf numFmtId="1" fontId="21" fillId="8" borderId="4" xfId="1" applyNumberFormat="1" applyFont="1" applyFill="1" applyBorder="1" applyAlignment="1" applyProtection="1">
      <alignment horizontal="right" vertical="center"/>
    </xf>
    <xf numFmtId="165" fontId="21" fillId="0" borderId="29" xfId="4" applyNumberFormat="1" applyFont="1" applyFill="1" applyBorder="1" applyAlignment="1" applyProtection="1">
      <alignment vertical="center"/>
    </xf>
    <xf numFmtId="0" fontId="34" fillId="0" borderId="0" xfId="0" applyFont="1" applyAlignment="1" applyProtection="1">
      <alignment horizontal="left" vertical="center"/>
      <protection locked="0"/>
    </xf>
    <xf numFmtId="0" fontId="34" fillId="0" borderId="0" xfId="1" applyNumberFormat="1" applyFont="1" applyFill="1" applyBorder="1" applyAlignment="1" applyProtection="1">
      <alignment horizontal="right" vertical="center"/>
    </xf>
    <xf numFmtId="165" fontId="0" fillId="0" borderId="0" xfId="0" applyNumberFormat="1"/>
    <xf numFmtId="9" fontId="0" fillId="0" borderId="0" xfId="2" applyFont="1"/>
    <xf numFmtId="165" fontId="21" fillId="10" borderId="4" xfId="1" applyNumberFormat="1" applyFont="1" applyFill="1" applyBorder="1" applyAlignment="1" applyProtection="1">
      <alignment horizontal="right" vertical="center"/>
    </xf>
    <xf numFmtId="0" fontId="9" fillId="6" borderId="22" xfId="0" applyFont="1" applyFill="1" applyBorder="1" applyAlignment="1" applyProtection="1">
      <alignment horizontal="left" vertical="center" wrapText="1"/>
      <protection locked="0"/>
    </xf>
    <xf numFmtId="0" fontId="9" fillId="6" borderId="45" xfId="0" applyFont="1" applyFill="1" applyBorder="1" applyAlignment="1" applyProtection="1">
      <alignment horizontal="left" vertical="center" wrapText="1"/>
      <protection locked="0"/>
    </xf>
    <xf numFmtId="0" fontId="9" fillId="6" borderId="23" xfId="0" applyFont="1" applyFill="1" applyBorder="1" applyAlignment="1" applyProtection="1">
      <alignment horizontal="left" vertical="center" wrapText="1"/>
      <protection locked="0"/>
    </xf>
    <xf numFmtId="0" fontId="22" fillId="6" borderId="26" xfId="0" applyFont="1" applyFill="1" applyBorder="1" applyAlignment="1" applyProtection="1">
      <alignment horizontal="left" vertical="center" wrapText="1"/>
      <protection locked="0"/>
    </xf>
    <xf numFmtId="0" fontId="22" fillId="6" borderId="46" xfId="0" applyFont="1" applyFill="1" applyBorder="1" applyAlignment="1" applyProtection="1">
      <alignment horizontal="left" vertical="center" wrapText="1"/>
      <protection locked="0"/>
    </xf>
    <xf numFmtId="0" fontId="22" fillId="6" borderId="27" xfId="0" applyFont="1" applyFill="1" applyBorder="1" applyAlignment="1" applyProtection="1">
      <alignment horizontal="left" vertical="center" wrapText="1"/>
      <protection locked="0"/>
    </xf>
    <xf numFmtId="0" fontId="22" fillId="6" borderId="39" xfId="0" applyFont="1" applyFill="1" applyBorder="1" applyAlignment="1" applyProtection="1">
      <alignment horizontal="left" vertical="center" wrapText="1"/>
      <protection locked="0"/>
    </xf>
    <xf numFmtId="0" fontId="22" fillId="6" borderId="41" xfId="0" applyFont="1" applyFill="1" applyBorder="1" applyAlignment="1" applyProtection="1">
      <alignment horizontal="left" vertical="center" wrapText="1"/>
      <protection locked="0"/>
    </xf>
    <xf numFmtId="0" fontId="22" fillId="6" borderId="57" xfId="0" applyFont="1" applyFill="1" applyBorder="1" applyAlignment="1" applyProtection="1">
      <alignment horizontal="left" vertical="center" wrapText="1"/>
      <protection locked="0"/>
    </xf>
    <xf numFmtId="0" fontId="22" fillId="6" borderId="58" xfId="0" applyFont="1" applyFill="1" applyBorder="1" applyAlignment="1" applyProtection="1">
      <alignment horizontal="left" vertical="center" wrapText="1"/>
      <protection locked="0"/>
    </xf>
    <xf numFmtId="0" fontId="9" fillId="6" borderId="26" xfId="0" applyFont="1" applyFill="1" applyBorder="1" applyAlignment="1" applyProtection="1">
      <alignment horizontal="left" vertical="center" wrapText="1"/>
      <protection locked="0"/>
    </xf>
    <xf numFmtId="0" fontId="9" fillId="6" borderId="46" xfId="0" applyFont="1" applyFill="1" applyBorder="1" applyAlignment="1" applyProtection="1">
      <alignment horizontal="left" vertical="center" wrapText="1"/>
      <protection locked="0"/>
    </xf>
    <xf numFmtId="0" fontId="9" fillId="6" borderId="27" xfId="0" applyFont="1" applyFill="1" applyBorder="1" applyAlignment="1" applyProtection="1">
      <alignment horizontal="left" vertical="center" wrapText="1"/>
      <protection locked="0"/>
    </xf>
    <xf numFmtId="0" fontId="21" fillId="9" borderId="0" xfId="0" applyFont="1" applyFill="1" applyAlignment="1">
      <alignment horizontal="left" vertical="center" wrapText="1"/>
    </xf>
    <xf numFmtId="0" fontId="0" fillId="9" borderId="6" xfId="0" applyFill="1" applyBorder="1" applyAlignment="1">
      <alignment horizontal="left" vertical="center" wrapText="1"/>
    </xf>
    <xf numFmtId="0" fontId="0" fillId="9" borderId="0" xfId="0" applyFill="1" applyAlignment="1">
      <alignment horizontal="left" vertical="center" wrapText="1"/>
    </xf>
    <xf numFmtId="0" fontId="29" fillId="0" borderId="36" xfId="0" applyFont="1" applyBorder="1" applyAlignment="1">
      <alignment horizontal="left" vertical="center" wrapText="1"/>
    </xf>
    <xf numFmtId="0" fontId="29" fillId="0" borderId="37" xfId="0" applyFont="1" applyBorder="1" applyAlignment="1">
      <alignment horizontal="left" vertical="center" wrapText="1"/>
    </xf>
    <xf numFmtId="0" fontId="29" fillId="0" borderId="33" xfId="0" applyFont="1" applyBorder="1" applyAlignment="1">
      <alignment horizontal="left" vertical="center" wrapText="1"/>
    </xf>
    <xf numFmtId="0" fontId="22" fillId="6" borderId="22" xfId="0" applyFont="1" applyFill="1" applyBorder="1" applyAlignment="1" applyProtection="1">
      <alignment horizontal="left" vertical="center" wrapText="1"/>
      <protection locked="0"/>
    </xf>
    <xf numFmtId="0" fontId="22" fillId="6" borderId="23" xfId="0" applyFont="1" applyFill="1" applyBorder="1" applyAlignment="1" applyProtection="1">
      <alignment horizontal="left" vertical="center" wrapText="1"/>
      <protection locked="0"/>
    </xf>
    <xf numFmtId="0" fontId="22" fillId="6" borderId="45" xfId="0" applyFont="1" applyFill="1" applyBorder="1" applyAlignment="1" applyProtection="1">
      <alignment horizontal="left" vertical="center" wrapText="1"/>
      <protection locked="0"/>
    </xf>
    <xf numFmtId="0" fontId="29" fillId="0" borderId="28" xfId="0" applyFont="1" applyBorder="1" applyAlignment="1">
      <alignment horizontal="left" vertical="center" wrapText="1"/>
    </xf>
    <xf numFmtId="0" fontId="29" fillId="0" borderId="29" xfId="0" applyFont="1" applyBorder="1" applyAlignment="1">
      <alignment horizontal="left" vertical="center" wrapText="1"/>
    </xf>
    <xf numFmtId="0" fontId="10" fillId="0" borderId="36" xfId="0" applyFont="1" applyBorder="1" applyAlignment="1">
      <alignment horizontal="left" vertical="center" wrapText="1"/>
    </xf>
    <xf numFmtId="0" fontId="10" fillId="0" borderId="33" xfId="0" applyFont="1" applyBorder="1" applyAlignment="1">
      <alignment horizontal="left" vertical="center" wrapText="1"/>
    </xf>
    <xf numFmtId="0" fontId="7" fillId="9" borderId="5" xfId="6" applyFont="1" applyFill="1" applyBorder="1" applyAlignment="1" applyProtection="1">
      <alignment horizontal="left" vertical="center" wrapText="1"/>
      <protection locked="0"/>
    </xf>
    <xf numFmtId="0" fontId="7" fillId="9" borderId="7" xfId="6" applyFont="1" applyFill="1" applyBorder="1" applyAlignment="1" applyProtection="1">
      <alignment horizontal="left" vertical="center" wrapText="1"/>
      <protection locked="0"/>
    </xf>
    <xf numFmtId="0" fontId="7" fillId="9" borderId="12" xfId="6" applyFont="1" applyFill="1" applyBorder="1" applyAlignment="1" applyProtection="1">
      <alignment horizontal="left" vertical="center" wrapText="1"/>
      <protection locked="0"/>
    </xf>
    <xf numFmtId="0" fontId="7" fillId="9" borderId="4" xfId="6" applyFont="1" applyFill="1" applyBorder="1" applyAlignment="1" applyProtection="1">
      <alignment horizontal="left" vertical="center" wrapText="1"/>
      <protection locked="0"/>
    </xf>
    <xf numFmtId="0" fontId="7" fillId="0" borderId="5"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wrapText="1"/>
      <protection locked="0"/>
    </xf>
    <xf numFmtId="0" fontId="7" fillId="0" borderId="12" xfId="0" applyFont="1" applyBorder="1" applyAlignment="1" applyProtection="1">
      <alignment horizontal="center" vertical="center" wrapText="1"/>
      <protection locked="0"/>
    </xf>
    <xf numFmtId="0" fontId="22" fillId="6" borderId="22" xfId="7" applyFont="1" applyFill="1" applyBorder="1" applyAlignment="1" applyProtection="1">
      <alignment horizontal="left" vertical="center"/>
      <protection locked="0"/>
    </xf>
    <xf numFmtId="0" fontId="22" fillId="6" borderId="45" xfId="7" applyFont="1" applyFill="1" applyBorder="1" applyAlignment="1" applyProtection="1">
      <alignment horizontal="left" vertical="center"/>
      <protection locked="0"/>
    </xf>
    <xf numFmtId="0" fontId="22" fillId="6" borderId="23" xfId="7" applyFont="1" applyFill="1" applyBorder="1" applyAlignment="1" applyProtection="1">
      <alignment horizontal="left" vertical="center"/>
      <protection locked="0"/>
    </xf>
    <xf numFmtId="0" fontId="13" fillId="7" borderId="0" xfId="0" applyFont="1" applyFill="1" applyAlignment="1" applyProtection="1">
      <alignment horizontal="center" vertical="center" wrapText="1"/>
      <protection locked="0"/>
    </xf>
    <xf numFmtId="0" fontId="7" fillId="0" borderId="34" xfId="0" applyFont="1" applyBorder="1" applyAlignment="1" applyProtection="1">
      <alignment horizontal="left" vertical="center"/>
      <protection locked="0"/>
    </xf>
    <xf numFmtId="0" fontId="7" fillId="0" borderId="7" xfId="0" applyFont="1" applyBorder="1" applyAlignment="1" applyProtection="1">
      <alignment horizontal="left" vertical="center"/>
      <protection locked="0"/>
    </xf>
    <xf numFmtId="0" fontId="7" fillId="0" borderId="19" xfId="0" applyFont="1" applyBorder="1" applyAlignment="1" applyProtection="1">
      <alignment horizontal="left" vertical="center"/>
      <protection locked="0"/>
    </xf>
    <xf numFmtId="0" fontId="22" fillId="6" borderId="22" xfId="0" applyFont="1" applyFill="1" applyBorder="1" applyAlignment="1" applyProtection="1">
      <alignment horizontal="left" vertical="center"/>
      <protection locked="0"/>
    </xf>
    <xf numFmtId="0" fontId="22" fillId="6" borderId="45" xfId="0" applyFont="1" applyFill="1" applyBorder="1" applyAlignment="1" applyProtection="1">
      <alignment horizontal="left" vertical="center"/>
      <protection locked="0"/>
    </xf>
    <xf numFmtId="0" fontId="22" fillId="6" borderId="23" xfId="0" applyFont="1" applyFill="1" applyBorder="1" applyAlignment="1" applyProtection="1">
      <alignment horizontal="left" vertical="center"/>
      <protection locked="0"/>
    </xf>
    <xf numFmtId="0" fontId="9" fillId="6" borderId="26" xfId="7" applyFont="1" applyFill="1" applyBorder="1" applyAlignment="1" applyProtection="1">
      <alignment horizontal="left" vertical="center"/>
      <protection locked="0"/>
    </xf>
    <xf numFmtId="0" fontId="9" fillId="6" borderId="27" xfId="7" applyFont="1" applyFill="1" applyBorder="1" applyAlignment="1" applyProtection="1">
      <alignment horizontal="left" vertical="center"/>
      <protection locked="0"/>
    </xf>
    <xf numFmtId="0" fontId="10" fillId="0" borderId="0" xfId="0" applyFont="1" applyAlignment="1" applyProtection="1">
      <alignment horizontal="left" vertical="center" wrapText="1"/>
      <protection locked="0"/>
    </xf>
    <xf numFmtId="0" fontId="27" fillId="6" borderId="26" xfId="7" applyFont="1" applyFill="1" applyBorder="1" applyAlignment="1" applyProtection="1">
      <alignment horizontal="left" vertical="center"/>
      <protection locked="0"/>
    </xf>
    <xf numFmtId="0" fontId="27" fillId="6" borderId="27" xfId="7" applyFont="1" applyFill="1" applyBorder="1" applyAlignment="1" applyProtection="1">
      <alignment horizontal="left" vertical="center"/>
      <protection locked="0"/>
    </xf>
    <xf numFmtId="0" fontId="22" fillId="6" borderId="26" xfId="7" applyFont="1" applyFill="1" applyBorder="1" applyAlignment="1" applyProtection="1">
      <alignment horizontal="left" vertical="center"/>
      <protection locked="0"/>
    </xf>
    <xf numFmtId="0" fontId="22" fillId="6" borderId="27" xfId="7" applyFont="1" applyFill="1" applyBorder="1" applyAlignment="1" applyProtection="1">
      <alignment horizontal="left" vertical="center"/>
      <protection locked="0"/>
    </xf>
    <xf numFmtId="0" fontId="21" fillId="0" borderId="22" xfId="0" applyFont="1" applyBorder="1" applyAlignment="1" applyProtection="1">
      <alignment horizontal="center" vertical="center"/>
      <protection locked="0"/>
    </xf>
    <xf numFmtId="0" fontId="21" fillId="0" borderId="42" xfId="0" applyFont="1" applyBorder="1" applyAlignment="1" applyProtection="1">
      <alignment horizontal="center" vertical="center"/>
      <protection locked="0"/>
    </xf>
    <xf numFmtId="0" fontId="21" fillId="0" borderId="22" xfId="0" applyFont="1" applyBorder="1" applyAlignment="1" applyProtection="1">
      <alignment horizontal="center" vertical="center" wrapText="1"/>
      <protection locked="0"/>
    </xf>
    <xf numFmtId="0" fontId="21" fillId="0" borderId="42" xfId="0" applyFont="1" applyBorder="1" applyAlignment="1" applyProtection="1">
      <alignment horizontal="center" vertical="center" wrapText="1"/>
      <protection locked="0"/>
    </xf>
    <xf numFmtId="0" fontId="21" fillId="0" borderId="43" xfId="0" applyFont="1" applyBorder="1" applyAlignment="1" applyProtection="1">
      <alignment horizontal="center" vertical="center" wrapText="1"/>
      <protection locked="0"/>
    </xf>
    <xf numFmtId="0" fontId="21" fillId="0" borderId="10" xfId="0" applyFont="1" applyBorder="1" applyAlignment="1" applyProtection="1">
      <alignment horizontal="center" vertical="center" wrapText="1"/>
      <protection locked="0"/>
    </xf>
    <xf numFmtId="0" fontId="21" fillId="0" borderId="44" xfId="0" applyFont="1" applyBorder="1" applyAlignment="1" applyProtection="1">
      <alignment horizontal="center" vertical="center" wrapText="1"/>
      <protection locked="0"/>
    </xf>
    <xf numFmtId="0" fontId="22" fillId="6" borderId="36" xfId="7" applyFont="1" applyFill="1" applyBorder="1" applyAlignment="1" applyProtection="1">
      <alignment horizontal="left" vertical="center"/>
      <protection locked="0"/>
    </xf>
    <xf numFmtId="0" fontId="22" fillId="6" borderId="37" xfId="7" applyFont="1" applyFill="1" applyBorder="1" applyAlignment="1" applyProtection="1">
      <alignment horizontal="left" vertical="center"/>
      <protection locked="0"/>
    </xf>
    <xf numFmtId="0" fontId="22" fillId="6" borderId="33" xfId="7" applyFont="1" applyFill="1" applyBorder="1" applyAlignment="1" applyProtection="1">
      <alignment horizontal="left" vertical="center"/>
      <protection locked="0"/>
    </xf>
    <xf numFmtId="0" fontId="15" fillId="0" borderId="30" xfId="3" applyFont="1" applyFill="1" applyBorder="1" applyAlignment="1" applyProtection="1">
      <alignment horizontal="left" vertical="center" wrapText="1"/>
      <protection locked="0"/>
    </xf>
    <xf numFmtId="0" fontId="15" fillId="0" borderId="38" xfId="3" applyFont="1" applyFill="1" applyBorder="1" applyAlignment="1" applyProtection="1">
      <alignment horizontal="left" vertical="center" wrapText="1"/>
      <protection locked="0"/>
    </xf>
    <xf numFmtId="0" fontId="7" fillId="9" borderId="5" xfId="6" applyFont="1" applyFill="1" applyBorder="1" applyAlignment="1" applyProtection="1">
      <alignment vertical="center" wrapText="1"/>
      <protection locked="0"/>
    </xf>
    <xf numFmtId="0" fontId="7" fillId="9" borderId="7" xfId="6" applyFont="1" applyFill="1" applyBorder="1" applyAlignment="1" applyProtection="1">
      <alignment vertical="center" wrapText="1"/>
      <protection locked="0"/>
    </xf>
    <xf numFmtId="0" fontId="7" fillId="9" borderId="12" xfId="6" applyFont="1" applyFill="1" applyBorder="1" applyAlignment="1" applyProtection="1">
      <alignment vertical="center" wrapText="1"/>
      <protection locked="0"/>
    </xf>
    <xf numFmtId="0" fontId="7" fillId="9" borderId="8" xfId="6" applyFont="1" applyFill="1" applyBorder="1" applyAlignment="1" applyProtection="1">
      <alignment horizontal="left" vertical="center" wrapText="1"/>
      <protection locked="0"/>
    </xf>
    <xf numFmtId="0" fontId="7" fillId="9" borderId="15" xfId="6" applyFont="1" applyFill="1" applyBorder="1" applyAlignment="1" applyProtection="1">
      <alignment horizontal="left" vertical="center" wrapText="1"/>
      <protection locked="0"/>
    </xf>
    <xf numFmtId="0" fontId="7" fillId="9" borderId="13" xfId="6" applyFont="1" applyFill="1" applyBorder="1" applyAlignment="1" applyProtection="1">
      <alignment horizontal="left" vertical="center" wrapText="1"/>
      <protection locked="0"/>
    </xf>
    <xf numFmtId="0" fontId="7" fillId="9" borderId="6" xfId="6" applyFont="1" applyFill="1" applyBorder="1" applyAlignment="1" applyProtection="1">
      <alignment horizontal="left" vertical="center" wrapText="1"/>
      <protection locked="0"/>
    </xf>
    <xf numFmtId="0" fontId="7" fillId="9" borderId="0" xfId="6" applyFont="1" applyFill="1" applyBorder="1" applyAlignment="1" applyProtection="1">
      <alignment horizontal="left" vertical="center" wrapText="1"/>
      <protection locked="0"/>
    </xf>
    <xf numFmtId="0" fontId="7" fillId="9" borderId="21" xfId="6" applyFont="1" applyFill="1" applyBorder="1" applyAlignment="1" applyProtection="1">
      <alignment horizontal="left" vertical="center" wrapText="1"/>
      <protection locked="0"/>
    </xf>
    <xf numFmtId="0" fontId="7" fillId="9" borderId="8" xfId="6" applyFont="1" applyFill="1" applyBorder="1" applyAlignment="1" applyProtection="1">
      <alignment horizontal="center" vertical="center" wrapText="1"/>
      <protection locked="0"/>
    </xf>
    <xf numFmtId="0" fontId="7" fillId="9" borderId="15" xfId="6" applyFont="1" applyFill="1" applyBorder="1" applyAlignment="1" applyProtection="1">
      <alignment horizontal="center" vertical="center" wrapText="1"/>
      <protection locked="0"/>
    </xf>
    <xf numFmtId="0" fontId="7" fillId="9" borderId="13" xfId="6" applyFont="1" applyFill="1" applyBorder="1" applyAlignment="1" applyProtection="1">
      <alignment horizontal="center" vertical="center" wrapText="1"/>
      <protection locked="0"/>
    </xf>
    <xf numFmtId="0" fontId="7" fillId="9" borderId="6" xfId="6" applyFont="1" applyFill="1" applyBorder="1" applyAlignment="1" applyProtection="1">
      <alignment horizontal="center" vertical="center" wrapText="1"/>
      <protection locked="0"/>
    </xf>
    <xf numFmtId="0" fontId="7" fillId="9" borderId="0" xfId="6" applyFont="1" applyFill="1" applyBorder="1" applyAlignment="1" applyProtection="1">
      <alignment horizontal="center" vertical="center" wrapText="1"/>
      <protection locked="0"/>
    </xf>
    <xf numFmtId="0" fontId="7" fillId="9" borderId="21" xfId="6" applyFont="1" applyFill="1" applyBorder="1" applyAlignment="1" applyProtection="1">
      <alignment horizontal="center" vertical="center" wrapText="1"/>
      <protection locked="0"/>
    </xf>
    <xf numFmtId="0" fontId="7" fillId="9" borderId="14" xfId="6" applyFont="1" applyFill="1" applyBorder="1" applyAlignment="1" applyProtection="1">
      <alignment horizontal="left" vertical="center" wrapText="1"/>
      <protection locked="0"/>
    </xf>
    <xf numFmtId="0" fontId="7" fillId="9" borderId="16" xfId="6" applyFont="1" applyFill="1" applyBorder="1" applyAlignment="1" applyProtection="1">
      <alignment horizontal="left" vertical="center" wrapText="1"/>
      <protection locked="0"/>
    </xf>
    <xf numFmtId="0" fontId="7" fillId="9" borderId="17" xfId="6" applyFont="1" applyFill="1" applyBorder="1" applyAlignment="1" applyProtection="1">
      <alignment horizontal="left" vertical="center" wrapText="1"/>
      <protection locked="0"/>
    </xf>
    <xf numFmtId="0" fontId="10" fillId="9" borderId="4" xfId="0" applyFont="1" applyFill="1" applyBorder="1" applyAlignment="1" applyProtection="1">
      <alignment horizontal="left" vertical="center" wrapText="1"/>
      <protection locked="0"/>
    </xf>
    <xf numFmtId="0" fontId="10" fillId="9" borderId="5" xfId="0" applyFont="1" applyFill="1" applyBorder="1" applyAlignment="1" applyProtection="1">
      <alignment horizontal="left" vertical="center"/>
      <protection locked="0"/>
    </xf>
    <xf numFmtId="0" fontId="10" fillId="9" borderId="7" xfId="0" applyFont="1" applyFill="1" applyBorder="1" applyAlignment="1" applyProtection="1">
      <alignment horizontal="left" vertical="center"/>
      <protection locked="0"/>
    </xf>
    <xf numFmtId="0" fontId="10" fillId="9" borderId="12" xfId="0" applyFont="1" applyFill="1" applyBorder="1" applyAlignment="1" applyProtection="1">
      <alignment horizontal="left" vertical="center"/>
      <protection locked="0"/>
    </xf>
    <xf numFmtId="0" fontId="7" fillId="0" borderId="57" xfId="0" applyFont="1" applyBorder="1" applyAlignment="1" applyProtection="1">
      <alignment horizontal="center" vertical="center" wrapText="1"/>
      <protection locked="0"/>
    </xf>
    <xf numFmtId="0" fontId="7" fillId="0" borderId="43" xfId="0" applyFont="1" applyBorder="1" applyAlignment="1" applyProtection="1">
      <alignment horizontal="center" vertical="center" wrapText="1"/>
      <protection locked="0"/>
    </xf>
    <xf numFmtId="0" fontId="7" fillId="0" borderId="58" xfId="0" applyFont="1" applyBorder="1" applyAlignment="1" applyProtection="1">
      <alignment horizontal="center" vertical="center" wrapText="1"/>
      <protection locked="0"/>
    </xf>
    <xf numFmtId="0" fontId="10" fillId="9" borderId="5" xfId="0" applyFont="1" applyFill="1" applyBorder="1" applyAlignment="1" applyProtection="1">
      <alignment horizontal="left" vertical="center" wrapText="1"/>
      <protection locked="0"/>
    </xf>
    <xf numFmtId="0" fontId="10" fillId="9" borderId="7" xfId="0" applyFont="1" applyFill="1" applyBorder="1" applyAlignment="1" applyProtection="1">
      <alignment horizontal="left" vertical="center" wrapText="1"/>
      <protection locked="0"/>
    </xf>
    <xf numFmtId="0" fontId="10" fillId="9" borderId="12" xfId="0" applyFont="1" applyFill="1" applyBorder="1" applyAlignment="1" applyProtection="1">
      <alignment horizontal="left" vertical="center" wrapText="1"/>
      <protection locked="0"/>
    </xf>
    <xf numFmtId="0" fontId="27" fillId="6" borderId="22" xfId="7" applyFont="1" applyFill="1" applyBorder="1" applyAlignment="1" applyProtection="1">
      <alignment horizontal="left" vertical="center"/>
      <protection locked="0"/>
    </xf>
    <xf numFmtId="0" fontId="27" fillId="6" borderId="23" xfId="7" applyFont="1" applyFill="1" applyBorder="1" applyAlignment="1" applyProtection="1">
      <alignment horizontal="left" vertical="center"/>
      <protection locked="0"/>
    </xf>
    <xf numFmtId="0" fontId="17" fillId="9" borderId="4" xfId="0" applyFont="1" applyFill="1" applyBorder="1" applyAlignment="1">
      <alignment horizontal="left" vertical="center" wrapText="1"/>
    </xf>
    <xf numFmtId="0" fontId="21" fillId="0" borderId="37" xfId="0" applyFont="1" applyBorder="1" applyAlignment="1" applyProtection="1">
      <alignment horizontal="center" vertical="center" wrapText="1"/>
      <protection locked="0"/>
    </xf>
    <xf numFmtId="0" fontId="21" fillId="0" borderId="4" xfId="0" applyFont="1" applyBorder="1" applyAlignment="1" applyProtection="1">
      <alignment horizontal="center" vertical="center" wrapText="1"/>
      <protection locked="0"/>
    </xf>
    <xf numFmtId="0" fontId="21" fillId="0" borderId="38" xfId="0" applyFont="1" applyBorder="1" applyAlignment="1" applyProtection="1">
      <alignment horizontal="center" vertical="center" wrapText="1"/>
      <protection locked="0"/>
    </xf>
    <xf numFmtId="0" fontId="13" fillId="7" borderId="21" xfId="0" applyFont="1" applyFill="1" applyBorder="1" applyAlignment="1" applyProtection="1">
      <alignment horizontal="center" vertical="center" wrapText="1"/>
      <protection locked="0"/>
    </xf>
    <xf numFmtId="0" fontId="22" fillId="6" borderId="46" xfId="7" applyFont="1" applyFill="1" applyBorder="1" applyAlignment="1" applyProtection="1">
      <alignment horizontal="left" vertical="center"/>
      <protection locked="0"/>
    </xf>
    <xf numFmtId="0" fontId="22" fillId="6" borderId="26" xfId="0" applyFont="1" applyFill="1" applyBorder="1" applyAlignment="1" applyProtection="1">
      <alignment horizontal="left" vertical="center"/>
      <protection locked="0"/>
    </xf>
    <xf numFmtId="0" fontId="22" fillId="6" borderId="46" xfId="0" applyFont="1" applyFill="1" applyBorder="1" applyAlignment="1" applyProtection="1">
      <alignment horizontal="left" vertical="center"/>
      <protection locked="0"/>
    </xf>
    <xf numFmtId="0" fontId="22" fillId="6" borderId="27" xfId="0" applyFont="1" applyFill="1" applyBorder="1" applyAlignment="1" applyProtection="1">
      <alignment horizontal="left" vertical="center"/>
      <protection locked="0"/>
    </xf>
    <xf numFmtId="0" fontId="7" fillId="0" borderId="28" xfId="0" applyFont="1" applyBorder="1" applyAlignment="1" applyProtection="1">
      <alignment horizontal="center" vertical="center" wrapText="1"/>
      <protection locked="0"/>
    </xf>
    <xf numFmtId="0" fontId="7" fillId="0" borderId="29" xfId="0" applyFont="1" applyBorder="1" applyAlignment="1" applyProtection="1">
      <alignment horizontal="center" vertical="center" wrapText="1"/>
      <protection locked="0"/>
    </xf>
    <xf numFmtId="0" fontId="10" fillId="0" borderId="35" xfId="0" applyFont="1" applyBorder="1" applyAlignment="1" applyProtection="1">
      <alignment horizontal="left" vertical="center"/>
      <protection locked="0"/>
    </xf>
    <xf numFmtId="0" fontId="10" fillId="0" borderId="63" xfId="0" applyFont="1" applyBorder="1" applyAlignment="1" applyProtection="1">
      <alignment horizontal="left" vertical="center"/>
      <protection locked="0"/>
    </xf>
    <xf numFmtId="0" fontId="7" fillId="0" borderId="9" xfId="0" applyFont="1" applyBorder="1" applyAlignment="1" applyProtection="1">
      <alignment horizontal="center" vertical="center" wrapText="1"/>
      <protection locked="0"/>
    </xf>
    <xf numFmtId="0" fontId="7" fillId="0" borderId="11" xfId="0" applyFont="1" applyBorder="1" applyAlignment="1" applyProtection="1">
      <alignment horizontal="center" vertical="center" wrapText="1"/>
      <protection locked="0"/>
    </xf>
    <xf numFmtId="0" fontId="7" fillId="0" borderId="55" xfId="0" applyFont="1" applyBorder="1" applyAlignment="1" applyProtection="1">
      <alignment horizontal="center" vertical="center" wrapText="1"/>
      <protection locked="0"/>
    </xf>
    <xf numFmtId="0" fontId="7" fillId="0" borderId="66" xfId="0" applyFont="1" applyBorder="1" applyAlignment="1" applyProtection="1">
      <alignment horizontal="center" vertical="center" wrapText="1"/>
      <protection locked="0"/>
    </xf>
    <xf numFmtId="0" fontId="7" fillId="9" borderId="5" xfId="6" applyFont="1" applyFill="1" applyBorder="1" applyAlignment="1" applyProtection="1">
      <alignment vertical="center"/>
      <protection locked="0"/>
    </xf>
    <xf numFmtId="0" fontId="7" fillId="9" borderId="7" xfId="6" applyFont="1" applyFill="1" applyBorder="1" applyAlignment="1" applyProtection="1">
      <alignment vertical="center"/>
      <protection locked="0"/>
    </xf>
    <xf numFmtId="0" fontId="7" fillId="9" borderId="12" xfId="6" applyFont="1" applyFill="1" applyBorder="1" applyAlignment="1" applyProtection="1">
      <alignment vertical="center"/>
      <protection locked="0"/>
    </xf>
    <xf numFmtId="0" fontId="7" fillId="0" borderId="12" xfId="0" applyFont="1" applyBorder="1" applyAlignment="1" applyProtection="1">
      <alignment horizontal="left" vertical="center"/>
      <protection locked="0"/>
    </xf>
    <xf numFmtId="0" fontId="7" fillId="0" borderId="26" xfId="0" applyFont="1" applyBorder="1" applyAlignment="1" applyProtection="1">
      <alignment horizontal="left" vertical="center"/>
      <protection locked="0"/>
    </xf>
    <xf numFmtId="0" fontId="7" fillId="0" borderId="46" xfId="0" applyFont="1" applyBorder="1" applyAlignment="1" applyProtection="1">
      <alignment horizontal="left" vertical="center"/>
      <protection locked="0"/>
    </xf>
    <xf numFmtId="0" fontId="7" fillId="0" borderId="27" xfId="0" applyFont="1" applyBorder="1" applyAlignment="1" applyProtection="1">
      <alignment horizontal="left" vertical="center"/>
      <protection locked="0"/>
    </xf>
    <xf numFmtId="0" fontId="7" fillId="0" borderId="36" xfId="0" applyFont="1" applyBorder="1" applyAlignment="1" applyProtection="1">
      <alignment horizontal="left" vertical="center" wrapText="1"/>
      <protection locked="0"/>
    </xf>
    <xf numFmtId="0" fontId="7" fillId="0" borderId="33" xfId="0" applyFont="1" applyBorder="1" applyAlignment="1" applyProtection="1">
      <alignment horizontal="left" vertical="center" wrapText="1"/>
      <protection locked="0"/>
    </xf>
    <xf numFmtId="165" fontId="21" fillId="8" borderId="72" xfId="1" applyNumberFormat="1" applyFont="1" applyFill="1" applyBorder="1" applyAlignment="1" applyProtection="1">
      <alignment horizontal="center" vertical="center"/>
    </xf>
    <xf numFmtId="165" fontId="21" fillId="8" borderId="20" xfId="1" applyNumberFormat="1" applyFont="1" applyFill="1" applyBorder="1" applyAlignment="1" applyProtection="1">
      <alignment horizontal="center" vertical="center"/>
    </xf>
    <xf numFmtId="0" fontId="29" fillId="0" borderId="4" xfId="0" applyFont="1" applyBorder="1" applyAlignment="1">
      <alignment horizontal="left" vertical="center" wrapText="1"/>
    </xf>
    <xf numFmtId="0" fontId="7" fillId="0" borderId="32" xfId="0" applyFont="1" applyBorder="1" applyAlignment="1" applyProtection="1">
      <alignment horizontal="left" vertical="center"/>
      <protection locked="0"/>
    </xf>
    <xf numFmtId="0" fontId="7" fillId="0" borderId="18" xfId="0" applyFont="1" applyBorder="1" applyAlignment="1" applyProtection="1">
      <alignment horizontal="left" vertical="center"/>
      <protection locked="0"/>
    </xf>
    <xf numFmtId="0" fontId="10" fillId="0" borderId="36" xfId="0" applyFont="1" applyBorder="1" applyAlignment="1" applyProtection="1">
      <alignment horizontal="left" vertical="center" wrapText="1"/>
      <protection locked="0"/>
    </xf>
    <xf numFmtId="0" fontId="10" fillId="0" borderId="33" xfId="0" applyFont="1" applyBorder="1" applyAlignment="1" applyProtection="1">
      <alignment horizontal="left" vertical="center" wrapText="1"/>
      <protection locked="0"/>
    </xf>
    <xf numFmtId="0" fontId="10" fillId="0" borderId="36" xfId="0" applyFont="1" applyBorder="1" applyAlignment="1" applyProtection="1">
      <alignment horizontal="left" vertical="center"/>
      <protection locked="0"/>
    </xf>
    <xf numFmtId="0" fontId="10" fillId="0" borderId="33" xfId="0" applyFont="1" applyBorder="1" applyAlignment="1" applyProtection="1">
      <alignment horizontal="left" vertical="center"/>
      <protection locked="0"/>
    </xf>
    <xf numFmtId="0" fontId="22" fillId="6" borderId="39" xfId="7" applyFont="1" applyFill="1" applyBorder="1" applyAlignment="1" applyProtection="1">
      <alignment horizontal="left" vertical="center"/>
      <protection locked="0"/>
    </xf>
    <xf numFmtId="0" fontId="22" fillId="6" borderId="41" xfId="7" applyFont="1" applyFill="1" applyBorder="1" applyAlignment="1" applyProtection="1">
      <alignment horizontal="left" vertical="center"/>
      <protection locked="0"/>
    </xf>
    <xf numFmtId="0" fontId="22" fillId="6" borderId="57" xfId="7" applyFont="1" applyFill="1" applyBorder="1" applyAlignment="1" applyProtection="1">
      <alignment horizontal="left" vertical="center"/>
      <protection locked="0"/>
    </xf>
    <xf numFmtId="0" fontId="22" fillId="6" borderId="58" xfId="7" applyFont="1" applyFill="1" applyBorder="1" applyAlignment="1" applyProtection="1">
      <alignment horizontal="left" vertical="center"/>
      <protection locked="0"/>
    </xf>
  </cellXfs>
  <cellStyles count="9">
    <cellStyle name="Ausgabe" xfId="4" builtinId="21"/>
    <cellStyle name="Berechnung" xfId="5" builtinId="22"/>
    <cellStyle name="Coding" xfId="8" xr:uid="{DE8920A1-2D51-4CE8-A106-F9F9C833C7DE}"/>
    <cellStyle name="Eingabe" xfId="3" builtinId="20"/>
    <cellStyle name="Erklärender Text" xfId="6" builtinId="53"/>
    <cellStyle name="Headline" xfId="7" xr:uid="{58A51711-8B79-4053-A911-DED9AD2959E0}"/>
    <cellStyle name="Komma" xfId="1" builtinId="3"/>
    <cellStyle name="Prozent" xfId="2" builtinId="5"/>
    <cellStyle name="Standard" xfId="0" builtinId="0"/>
  </cellStyles>
  <dxfs count="0"/>
  <tableStyles count="0" defaultTableStyle="TableStyleMedium2" defaultPivotStyle="PivotStyleLight16"/>
  <colors>
    <mruColors>
      <color rgb="FFB0C29C"/>
      <color rgb="FFE0303C"/>
      <color rgb="FFF6E15F"/>
      <color rgb="FFE4F1FA"/>
      <color rgb="FF313C4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469B5-EF9B-4861-B91B-036907A4F2D2}">
  <dimension ref="A1:AW113"/>
  <sheetViews>
    <sheetView zoomScale="40" zoomScaleNormal="40" workbookViewId="0">
      <selection activeCell="D30" sqref="D30"/>
    </sheetView>
  </sheetViews>
  <sheetFormatPr baseColWidth="10" defaultRowHeight="14"/>
  <cols>
    <col min="2" max="2" width="79.75" customWidth="1"/>
    <col min="3" max="3" width="123.25" customWidth="1"/>
    <col min="4" max="24" width="133.25" bestFit="1" customWidth="1"/>
  </cols>
  <sheetData>
    <row r="1" spans="1:15" ht="14.5" thickBot="1"/>
    <row r="2" spans="1:15" ht="25.5" thickBot="1">
      <c r="B2" s="263" t="s">
        <v>903</v>
      </c>
      <c r="C2" s="264"/>
      <c r="D2" s="264"/>
      <c r="E2" s="264"/>
      <c r="F2" s="264"/>
      <c r="G2" s="265"/>
    </row>
    <row r="3" spans="1:15" ht="14.5" thickBot="1">
      <c r="A3" s="241" t="s">
        <v>988</v>
      </c>
    </row>
    <row r="4" spans="1:15" ht="25.5" customHeight="1" thickBot="1">
      <c r="A4" s="241" t="s">
        <v>1026</v>
      </c>
      <c r="B4" s="263" t="s">
        <v>904</v>
      </c>
      <c r="C4" s="264"/>
      <c r="D4" s="264"/>
      <c r="E4" s="264"/>
      <c r="F4" s="264"/>
      <c r="G4" s="265"/>
    </row>
    <row r="5" spans="1:15" ht="32" customHeight="1" thickBot="1">
      <c r="A5" s="241" t="s">
        <v>1027</v>
      </c>
      <c r="B5" s="228" t="s">
        <v>907</v>
      </c>
      <c r="C5" s="229" t="s">
        <v>908</v>
      </c>
      <c r="D5" s="229" t="s">
        <v>909</v>
      </c>
      <c r="E5" s="229" t="s">
        <v>905</v>
      </c>
      <c r="F5" s="229" t="s">
        <v>1025</v>
      </c>
      <c r="G5" s="230" t="s">
        <v>906</v>
      </c>
      <c r="H5" s="226"/>
    </row>
    <row r="6" spans="1:15" ht="16" thickBot="1">
      <c r="A6" s="241" t="s">
        <v>1028</v>
      </c>
      <c r="B6" s="242" t="s">
        <v>649</v>
      </c>
      <c r="C6" s="148" t="s">
        <v>1095</v>
      </c>
      <c r="D6" s="148" t="s">
        <v>1096</v>
      </c>
      <c r="E6" s="148" t="s">
        <v>1026</v>
      </c>
      <c r="F6" s="148" t="s">
        <v>2</v>
      </c>
      <c r="G6" s="149">
        <v>0</v>
      </c>
      <c r="H6" s="226"/>
    </row>
    <row r="7" spans="1:15" ht="15.5">
      <c r="A7" s="241" t="s">
        <v>1029</v>
      </c>
      <c r="B7" s="45" t="s">
        <v>1031</v>
      </c>
      <c r="C7" s="45" t="s">
        <v>1022</v>
      </c>
      <c r="D7" s="45" t="s">
        <v>1023</v>
      </c>
      <c r="E7" s="45" t="s">
        <v>1024</v>
      </c>
      <c r="F7" s="226"/>
      <c r="G7" s="226"/>
      <c r="H7" s="226"/>
    </row>
    <row r="8" spans="1:15" ht="16" thickBot="1">
      <c r="A8" s="241" t="s">
        <v>1030</v>
      </c>
      <c r="B8" s="252"/>
      <c r="C8" s="226"/>
      <c r="D8" s="226"/>
      <c r="E8" s="226"/>
      <c r="F8" s="226"/>
      <c r="G8" s="226"/>
      <c r="H8" s="226"/>
    </row>
    <row r="9" spans="1:15" ht="25.5" thickBot="1">
      <c r="B9" s="263" t="s">
        <v>910</v>
      </c>
      <c r="C9" s="264"/>
      <c r="D9" s="264"/>
      <c r="E9" s="264"/>
      <c r="F9" s="264"/>
      <c r="G9" s="265"/>
    </row>
    <row r="10" spans="1:15" ht="14.5" thickBot="1"/>
    <row r="11" spans="1:15" ht="16" customHeight="1" thickBot="1">
      <c r="B11" s="266" t="s">
        <v>911</v>
      </c>
      <c r="C11" s="267"/>
      <c r="D11" s="267"/>
      <c r="E11" s="268"/>
      <c r="F11" s="226"/>
      <c r="G11" s="226"/>
    </row>
    <row r="12" spans="1:15" ht="22" customHeight="1" thickBot="1">
      <c r="B12" s="231" t="s">
        <v>912</v>
      </c>
      <c r="C12" s="232" t="s">
        <v>913</v>
      </c>
      <c r="D12" s="232" t="s">
        <v>914</v>
      </c>
      <c r="E12" s="233" t="s">
        <v>915</v>
      </c>
      <c r="F12" s="226"/>
      <c r="G12" s="226"/>
    </row>
    <row r="13" spans="1:15" ht="16" thickBot="1">
      <c r="A13" s="241" t="s">
        <v>988</v>
      </c>
      <c r="B13" s="234" t="s">
        <v>1104</v>
      </c>
      <c r="C13" s="148" t="s">
        <v>959</v>
      </c>
      <c r="D13" s="148" t="s">
        <v>960</v>
      </c>
      <c r="E13" s="149" t="s">
        <v>650</v>
      </c>
      <c r="F13" s="226"/>
      <c r="G13" s="226"/>
    </row>
    <row r="14" spans="1:15" ht="15.5">
      <c r="A14" s="241" t="s">
        <v>1037</v>
      </c>
      <c r="B14" s="45" t="s">
        <v>1034</v>
      </c>
      <c r="C14" s="45" t="s">
        <v>1035</v>
      </c>
      <c r="D14" s="45" t="s">
        <v>1036</v>
      </c>
      <c r="E14" s="226"/>
      <c r="F14" s="226"/>
      <c r="G14" s="226"/>
    </row>
    <row r="15" spans="1:15" ht="16" thickBot="1">
      <c r="A15" s="241" t="s">
        <v>1038</v>
      </c>
      <c r="B15" s="226"/>
      <c r="C15" s="226"/>
      <c r="D15" s="226"/>
      <c r="E15" s="226"/>
      <c r="F15" s="226"/>
      <c r="G15" s="226"/>
    </row>
    <row r="16" spans="1:15" ht="15.5" customHeight="1" thickBot="1">
      <c r="A16" s="241" t="s">
        <v>1039</v>
      </c>
      <c r="B16" s="266" t="s">
        <v>916</v>
      </c>
      <c r="C16" s="267"/>
      <c r="D16" s="268"/>
      <c r="E16" s="276" t="s">
        <v>1043</v>
      </c>
      <c r="F16" s="276"/>
      <c r="G16" s="276"/>
      <c r="H16" s="276"/>
      <c r="I16" s="276"/>
      <c r="J16" s="276"/>
      <c r="K16" s="276"/>
      <c r="L16" s="276"/>
      <c r="M16" s="276"/>
      <c r="N16" s="276"/>
      <c r="O16" s="276"/>
    </row>
    <row r="17" spans="1:15" ht="85" customHeight="1" thickBot="1">
      <c r="A17" s="241" t="s">
        <v>1040</v>
      </c>
      <c r="B17" s="231" t="s">
        <v>917</v>
      </c>
      <c r="C17" s="232" t="s">
        <v>918</v>
      </c>
      <c r="D17" s="233" t="s">
        <v>919</v>
      </c>
      <c r="E17" s="276"/>
      <c r="F17" s="276"/>
      <c r="G17" s="276"/>
      <c r="H17" s="276"/>
      <c r="I17" s="276"/>
      <c r="J17" s="276"/>
      <c r="K17" s="276"/>
      <c r="L17" s="276"/>
      <c r="M17" s="276"/>
      <c r="N17" s="276"/>
      <c r="O17" s="276"/>
    </row>
    <row r="18" spans="1:15" ht="16" thickBot="1">
      <c r="A18" s="241"/>
      <c r="B18" s="237" t="s">
        <v>1037</v>
      </c>
      <c r="C18" s="227" t="s">
        <v>1041</v>
      </c>
      <c r="D18" s="227" t="s">
        <v>1042</v>
      </c>
      <c r="E18" s="276"/>
      <c r="F18" s="276"/>
      <c r="G18" s="276"/>
      <c r="H18" s="276"/>
      <c r="I18" s="276"/>
      <c r="J18" s="276"/>
      <c r="K18" s="276"/>
      <c r="L18" s="276"/>
      <c r="M18" s="276"/>
      <c r="N18" s="276"/>
      <c r="O18" s="276"/>
    </row>
    <row r="19" spans="1:15" ht="15.5">
      <c r="B19" s="226"/>
      <c r="C19" s="45" t="s">
        <v>1032</v>
      </c>
      <c r="D19" s="45" t="s">
        <v>1033</v>
      </c>
      <c r="E19" s="226"/>
      <c r="F19" s="226"/>
      <c r="G19" s="226"/>
    </row>
    <row r="20" spans="1:15" ht="16" thickBot="1">
      <c r="A20" s="253"/>
      <c r="B20" s="226"/>
      <c r="C20" s="226"/>
      <c r="D20" s="226"/>
      <c r="E20" s="226"/>
      <c r="F20" s="226"/>
      <c r="G20" s="226"/>
    </row>
    <row r="21" spans="1:15" ht="25.5" thickBot="1">
      <c r="B21" s="263" t="s">
        <v>920</v>
      </c>
      <c r="C21" s="264"/>
      <c r="D21" s="264"/>
      <c r="E21" s="264"/>
      <c r="F21" s="264"/>
      <c r="G21" s="265"/>
    </row>
    <row r="22" spans="1:15" ht="16" thickBot="1">
      <c r="B22" s="226"/>
      <c r="C22" s="226"/>
      <c r="D22" s="226"/>
      <c r="E22" s="226"/>
      <c r="F22" s="226"/>
      <c r="G22" s="226"/>
    </row>
    <row r="23" spans="1:15" ht="16" thickBot="1">
      <c r="A23" s="241" t="s">
        <v>988</v>
      </c>
      <c r="B23" s="266" t="s">
        <v>921</v>
      </c>
      <c r="C23" s="268"/>
      <c r="D23" s="226"/>
      <c r="E23" s="226"/>
      <c r="F23" s="226"/>
      <c r="G23" s="226"/>
    </row>
    <row r="24" spans="1:15" ht="15.5">
      <c r="A24" s="241" t="s">
        <v>1047</v>
      </c>
      <c r="B24" s="238" t="s">
        <v>922</v>
      </c>
      <c r="C24" s="195" t="s">
        <v>2</v>
      </c>
      <c r="D24" s="226"/>
      <c r="E24" s="226"/>
      <c r="F24" s="226"/>
      <c r="G24" s="226"/>
    </row>
    <row r="25" spans="1:15" ht="15.5">
      <c r="A25" s="241" t="s">
        <v>1052</v>
      </c>
      <c r="B25" s="188" t="s">
        <v>923</v>
      </c>
      <c r="C25" s="41" t="s">
        <v>1053</v>
      </c>
      <c r="D25" s="45" t="s">
        <v>1051</v>
      </c>
      <c r="E25" s="226"/>
      <c r="F25" s="226"/>
      <c r="G25" s="226"/>
    </row>
    <row r="26" spans="1:15" ht="15.5">
      <c r="A26" s="241" t="s">
        <v>1048</v>
      </c>
      <c r="B26" s="188" t="s">
        <v>924</v>
      </c>
      <c r="C26" s="41" t="s">
        <v>1095</v>
      </c>
      <c r="D26" s="45" t="s">
        <v>1046</v>
      </c>
      <c r="E26" s="226"/>
      <c r="F26" s="226"/>
      <c r="G26" s="226"/>
    </row>
    <row r="27" spans="1:15" ht="15.5">
      <c r="A27" s="241" t="s">
        <v>1049</v>
      </c>
      <c r="B27" s="188" t="s">
        <v>925</v>
      </c>
      <c r="C27" s="41" t="s">
        <v>1096</v>
      </c>
      <c r="D27" s="45" t="s">
        <v>1023</v>
      </c>
      <c r="E27" s="226"/>
      <c r="F27" s="226"/>
      <c r="G27" s="226"/>
    </row>
    <row r="28" spans="1:15" ht="31" customHeight="1">
      <c r="A28" s="241" t="s">
        <v>1050</v>
      </c>
      <c r="B28" s="188" t="s">
        <v>926</v>
      </c>
      <c r="C28" s="41" t="s">
        <v>102</v>
      </c>
      <c r="D28" s="226"/>
      <c r="E28" s="226"/>
      <c r="F28" s="226"/>
      <c r="G28" s="226"/>
    </row>
    <row r="29" spans="1:15" ht="15.5">
      <c r="B29" s="188" t="s">
        <v>927</v>
      </c>
      <c r="C29" s="41" t="s">
        <v>1055</v>
      </c>
      <c r="D29" s="45" t="s">
        <v>1054</v>
      </c>
      <c r="E29" s="226"/>
      <c r="F29" s="226"/>
      <c r="G29" s="226"/>
    </row>
    <row r="30" spans="1:15" ht="15.5">
      <c r="B30" s="188" t="s">
        <v>928</v>
      </c>
      <c r="C30" s="41" t="s">
        <v>102</v>
      </c>
      <c r="D30" s="45" t="s">
        <v>1045</v>
      </c>
      <c r="E30" s="226"/>
      <c r="F30" s="226"/>
      <c r="G30" s="226"/>
    </row>
    <row r="31" spans="1:15" ht="16" thickBot="1">
      <c r="B31" s="239" t="s">
        <v>929</v>
      </c>
      <c r="C31" s="99" t="s">
        <v>102</v>
      </c>
      <c r="D31" s="45" t="s">
        <v>1044</v>
      </c>
      <c r="E31" s="226"/>
      <c r="F31" s="226"/>
      <c r="G31" s="226"/>
    </row>
    <row r="32" spans="1:15" ht="16" thickBot="1">
      <c r="C32" s="226"/>
      <c r="D32" s="226"/>
      <c r="E32" s="226"/>
      <c r="F32" s="226"/>
      <c r="G32" s="226"/>
    </row>
    <row r="33" spans="2:24" ht="16" thickBot="1">
      <c r="B33" s="266" t="s">
        <v>930</v>
      </c>
      <c r="C33" s="268"/>
      <c r="D33" s="226"/>
      <c r="E33" s="226"/>
      <c r="F33" s="226"/>
      <c r="G33" s="226"/>
    </row>
    <row r="34" spans="2:24" ht="16" thickBot="1">
      <c r="B34" s="266" t="s">
        <v>931</v>
      </c>
      <c r="C34" s="268"/>
      <c r="D34" s="226"/>
      <c r="E34" s="226"/>
      <c r="F34" s="226"/>
      <c r="G34" s="226"/>
    </row>
    <row r="35" spans="2:24" ht="16" thickBot="1">
      <c r="B35" s="235" t="s">
        <v>932</v>
      </c>
      <c r="C35" s="236" t="s">
        <v>933</v>
      </c>
      <c r="D35" s="149" t="s">
        <v>650</v>
      </c>
      <c r="E35" s="226"/>
      <c r="F35" s="226"/>
      <c r="G35" s="226"/>
    </row>
    <row r="36" spans="2:24" ht="15.5">
      <c r="B36" s="279" t="s">
        <v>934</v>
      </c>
      <c r="C36" s="280"/>
      <c r="D36" s="280"/>
      <c r="E36" s="280"/>
      <c r="F36" s="280"/>
      <c r="G36" s="280"/>
      <c r="H36" s="280"/>
      <c r="I36" s="280"/>
      <c r="J36" s="280"/>
      <c r="K36" s="280"/>
      <c r="L36" s="280"/>
      <c r="M36" s="280"/>
      <c r="N36" s="280"/>
      <c r="O36" s="280"/>
      <c r="P36" s="280"/>
      <c r="Q36" s="280"/>
      <c r="R36" s="280"/>
      <c r="S36" s="280"/>
      <c r="T36" s="280"/>
      <c r="U36" s="280"/>
      <c r="V36" s="280"/>
      <c r="W36" s="280"/>
      <c r="X36" s="281"/>
    </row>
    <row r="37" spans="2:24" ht="15.5">
      <c r="B37" s="188" t="s">
        <v>935</v>
      </c>
      <c r="C37" s="42" t="s">
        <v>2</v>
      </c>
      <c r="D37" s="42" t="s">
        <v>957</v>
      </c>
      <c r="E37" s="42" t="s">
        <v>1098</v>
      </c>
      <c r="F37" s="42" t="s">
        <v>1100</v>
      </c>
      <c r="G37" s="42" t="s">
        <v>1100</v>
      </c>
      <c r="H37" s="42" t="s">
        <v>1100</v>
      </c>
      <c r="I37" s="42" t="s">
        <v>1100</v>
      </c>
      <c r="J37" s="42"/>
      <c r="K37" s="42"/>
      <c r="L37" s="42"/>
      <c r="M37" s="42"/>
      <c r="N37" s="42"/>
      <c r="O37" s="42"/>
      <c r="P37" s="42"/>
      <c r="Q37" s="42"/>
      <c r="R37" s="42"/>
      <c r="S37" s="42"/>
      <c r="T37" s="42"/>
      <c r="U37" s="42"/>
      <c r="V37" s="42"/>
      <c r="W37" s="42"/>
      <c r="X37" s="41"/>
    </row>
    <row r="38" spans="2:24" ht="16" thickBot="1">
      <c r="B38" s="240" t="s">
        <v>936</v>
      </c>
      <c r="C38" s="41" t="s">
        <v>1053</v>
      </c>
      <c r="D38" s="41" t="s">
        <v>1053</v>
      </c>
      <c r="E38" s="41" t="s">
        <v>1050</v>
      </c>
      <c r="F38" s="41" t="s">
        <v>1050</v>
      </c>
      <c r="G38" s="41" t="s">
        <v>1050</v>
      </c>
      <c r="H38" s="41" t="s">
        <v>1050</v>
      </c>
      <c r="I38" s="41" t="s">
        <v>1050</v>
      </c>
      <c r="J38" s="41"/>
      <c r="K38" s="41"/>
      <c r="L38" s="41"/>
      <c r="M38" s="41"/>
      <c r="N38" s="41"/>
      <c r="O38" s="41"/>
      <c r="P38" s="41"/>
      <c r="Q38" s="41"/>
      <c r="R38" s="41"/>
      <c r="S38" s="41"/>
      <c r="T38" s="41"/>
      <c r="U38" s="41"/>
      <c r="V38" s="41"/>
      <c r="W38" s="41"/>
      <c r="X38" s="41"/>
    </row>
    <row r="39" spans="2:24" ht="15.5">
      <c r="B39" s="279" t="s">
        <v>937</v>
      </c>
      <c r="C39" s="280"/>
      <c r="D39" s="280"/>
      <c r="E39" s="280"/>
      <c r="F39" s="280"/>
      <c r="G39" s="280"/>
      <c r="H39" s="280"/>
      <c r="I39" s="280"/>
      <c r="J39" s="280"/>
      <c r="K39" s="280"/>
      <c r="L39" s="280"/>
      <c r="M39" s="280"/>
      <c r="N39" s="280"/>
      <c r="O39" s="280"/>
      <c r="P39" s="280"/>
      <c r="Q39" s="280"/>
      <c r="R39" s="280"/>
      <c r="S39" s="280"/>
      <c r="T39" s="280"/>
      <c r="U39" s="280"/>
      <c r="V39" s="280"/>
      <c r="W39" s="280"/>
      <c r="X39" s="281"/>
    </row>
    <row r="40" spans="2:24" ht="15.5">
      <c r="B40" s="188" t="s">
        <v>938</v>
      </c>
      <c r="C40" s="42" t="s">
        <v>1095</v>
      </c>
      <c r="D40" s="42" t="s">
        <v>1097</v>
      </c>
      <c r="E40" s="42" t="s">
        <v>1099</v>
      </c>
      <c r="F40" s="42" t="s">
        <v>1102</v>
      </c>
      <c r="G40" s="42" t="s">
        <v>1103</v>
      </c>
      <c r="H40" s="42" t="s">
        <v>1105</v>
      </c>
      <c r="I40" s="42" t="s">
        <v>1106</v>
      </c>
      <c r="J40" s="42"/>
      <c r="K40" s="42"/>
      <c r="L40" s="42"/>
      <c r="M40" s="42"/>
      <c r="N40" s="42"/>
      <c r="O40" s="42"/>
      <c r="P40" s="42"/>
      <c r="Q40" s="42"/>
      <c r="R40" s="42"/>
      <c r="S40" s="42"/>
      <c r="T40" s="42"/>
      <c r="U40" s="42"/>
      <c r="V40" s="42"/>
      <c r="W40" s="42"/>
      <c r="X40" s="41"/>
    </row>
    <row r="41" spans="2:24" ht="15.5">
      <c r="B41" s="188" t="s">
        <v>939</v>
      </c>
      <c r="C41" s="42" t="s">
        <v>1096</v>
      </c>
      <c r="D41" s="42"/>
      <c r="E41" s="42"/>
      <c r="F41" s="42" t="s">
        <v>1101</v>
      </c>
      <c r="G41" s="42" t="s">
        <v>1101</v>
      </c>
      <c r="H41" s="42" t="s">
        <v>1101</v>
      </c>
      <c r="I41" s="42" t="s">
        <v>1101</v>
      </c>
      <c r="J41" s="42"/>
      <c r="K41" s="42"/>
      <c r="L41" s="42"/>
      <c r="M41" s="42"/>
      <c r="N41" s="42"/>
      <c r="O41" s="42"/>
      <c r="P41" s="42"/>
      <c r="Q41" s="42"/>
      <c r="R41" s="42"/>
      <c r="S41" s="42"/>
      <c r="T41" s="42"/>
      <c r="U41" s="42"/>
      <c r="V41" s="42"/>
      <c r="W41" s="42"/>
      <c r="X41" s="41"/>
    </row>
    <row r="42" spans="2:24" ht="15.5">
      <c r="B42" s="188" t="s">
        <v>940</v>
      </c>
      <c r="C42" s="42"/>
      <c r="D42" s="42"/>
      <c r="E42" s="42"/>
      <c r="F42" s="42"/>
      <c r="G42" s="42"/>
      <c r="H42" s="42"/>
      <c r="I42" s="42"/>
      <c r="J42" s="42"/>
      <c r="K42" s="42"/>
      <c r="L42" s="42"/>
      <c r="M42" s="42"/>
      <c r="N42" s="42"/>
      <c r="O42" s="42"/>
      <c r="P42" s="42"/>
      <c r="Q42" s="42"/>
      <c r="R42" s="42"/>
      <c r="S42" s="42"/>
      <c r="T42" s="42"/>
      <c r="U42" s="42"/>
      <c r="V42" s="42"/>
      <c r="W42" s="42"/>
      <c r="X42" s="41"/>
    </row>
    <row r="43" spans="2:24" ht="16" thickBot="1">
      <c r="B43" s="239" t="s">
        <v>941</v>
      </c>
      <c r="C43" s="41" t="s">
        <v>1055</v>
      </c>
      <c r="D43" s="41" t="s">
        <v>1059</v>
      </c>
      <c r="E43" s="41" t="s">
        <v>1059</v>
      </c>
      <c r="F43" s="41" t="s">
        <v>1059</v>
      </c>
      <c r="G43" s="41" t="s">
        <v>1059</v>
      </c>
      <c r="H43" s="41" t="s">
        <v>1059</v>
      </c>
      <c r="I43" s="41" t="s">
        <v>1059</v>
      </c>
      <c r="J43" s="41"/>
      <c r="K43" s="41"/>
      <c r="L43" s="41"/>
      <c r="M43" s="41"/>
      <c r="N43" s="41"/>
      <c r="O43" s="41"/>
      <c r="P43" s="41"/>
      <c r="Q43" s="41"/>
      <c r="R43" s="41"/>
      <c r="S43" s="41"/>
      <c r="T43" s="41"/>
      <c r="U43" s="41"/>
      <c r="V43" s="41"/>
      <c r="W43" s="41"/>
      <c r="X43" s="41"/>
    </row>
    <row r="44" spans="2:24" ht="15.5">
      <c r="B44" s="279" t="s">
        <v>953</v>
      </c>
      <c r="C44" s="280"/>
      <c r="D44" s="280"/>
      <c r="E44" s="280"/>
      <c r="F44" s="280"/>
      <c r="G44" s="280"/>
      <c r="H44" s="280"/>
      <c r="I44" s="280"/>
      <c r="J44" s="280"/>
      <c r="K44" s="280"/>
      <c r="L44" s="280"/>
      <c r="M44" s="280"/>
      <c r="N44" s="280"/>
      <c r="O44" s="280"/>
      <c r="P44" s="280"/>
      <c r="Q44" s="280"/>
      <c r="R44" s="280"/>
      <c r="S44" s="280"/>
      <c r="T44" s="280"/>
      <c r="U44" s="280"/>
      <c r="V44" s="280"/>
      <c r="W44" s="280"/>
      <c r="X44" s="281"/>
    </row>
    <row r="45" spans="2:24" ht="15.5">
      <c r="B45" s="188" t="s">
        <v>954</v>
      </c>
      <c r="C45" s="42" t="s">
        <v>1079</v>
      </c>
      <c r="D45" s="42" t="s">
        <v>1080</v>
      </c>
      <c r="E45" s="42" t="s">
        <v>1080</v>
      </c>
      <c r="F45" s="42" t="s">
        <v>1080</v>
      </c>
      <c r="G45" s="42" t="s">
        <v>1080</v>
      </c>
      <c r="H45" s="42" t="s">
        <v>1080</v>
      </c>
      <c r="I45" s="42" t="s">
        <v>1080</v>
      </c>
      <c r="J45" s="42"/>
      <c r="K45" s="42"/>
      <c r="L45" s="42"/>
      <c r="M45" s="42"/>
      <c r="N45" s="42"/>
      <c r="O45" s="42"/>
      <c r="P45" s="42"/>
      <c r="Q45" s="42"/>
      <c r="R45" s="42"/>
      <c r="S45" s="42"/>
      <c r="T45" s="42"/>
      <c r="U45" s="42"/>
      <c r="V45" s="42"/>
      <c r="W45" s="42"/>
      <c r="X45" s="42"/>
    </row>
    <row r="46" spans="2:24" ht="15.5">
      <c r="B46" s="188" t="s">
        <v>956</v>
      </c>
      <c r="C46" s="42"/>
      <c r="D46" s="42"/>
      <c r="E46" s="42"/>
      <c r="F46" s="42"/>
      <c r="G46" s="42"/>
      <c r="H46" s="42"/>
      <c r="I46" s="42"/>
      <c r="J46" s="42"/>
      <c r="K46" s="42"/>
      <c r="L46" s="42"/>
      <c r="M46" s="42"/>
      <c r="N46" s="42"/>
      <c r="O46" s="42"/>
      <c r="P46" s="42"/>
      <c r="Q46" s="42"/>
      <c r="R46" s="42"/>
      <c r="S46" s="42"/>
      <c r="T46" s="42"/>
      <c r="U46" s="42"/>
      <c r="V46" s="42"/>
      <c r="W46" s="42"/>
      <c r="X46" s="41"/>
    </row>
    <row r="47" spans="2:24" ht="16" thickBot="1">
      <c r="B47" s="239" t="s">
        <v>955</v>
      </c>
      <c r="C47" s="255">
        <v>1</v>
      </c>
      <c r="D47" s="255">
        <v>1</v>
      </c>
      <c r="E47" s="255">
        <v>1</v>
      </c>
      <c r="F47" s="255">
        <v>1</v>
      </c>
      <c r="G47" s="255">
        <v>1</v>
      </c>
      <c r="H47" s="255">
        <v>1</v>
      </c>
      <c r="I47" s="255">
        <v>1</v>
      </c>
      <c r="J47" s="255"/>
      <c r="K47" s="255"/>
      <c r="L47" s="255"/>
      <c r="M47" s="255"/>
      <c r="N47" s="255"/>
      <c r="O47" s="255"/>
      <c r="P47" s="255"/>
      <c r="Q47" s="255"/>
      <c r="R47" s="255"/>
      <c r="S47" s="255"/>
      <c r="T47" s="255"/>
      <c r="U47" s="255"/>
      <c r="V47" s="255"/>
      <c r="W47" s="255"/>
      <c r="X47" s="255"/>
    </row>
    <row r="48" spans="2:24" ht="15.5">
      <c r="B48" s="279" t="s">
        <v>942</v>
      </c>
      <c r="C48" s="280"/>
      <c r="D48" s="280"/>
      <c r="E48" s="280"/>
      <c r="F48" s="280"/>
      <c r="G48" s="280"/>
      <c r="H48" s="280"/>
      <c r="I48" s="280"/>
      <c r="J48" s="280"/>
      <c r="K48" s="280"/>
      <c r="L48" s="280"/>
      <c r="M48" s="280"/>
      <c r="N48" s="280"/>
      <c r="O48" s="280"/>
      <c r="P48" s="280"/>
      <c r="Q48" s="280"/>
      <c r="R48" s="280"/>
      <c r="S48" s="280"/>
      <c r="T48" s="280"/>
      <c r="U48" s="280"/>
      <c r="V48" s="280"/>
      <c r="W48" s="280"/>
      <c r="X48" s="281"/>
    </row>
    <row r="49" spans="1:49" ht="15.5">
      <c r="B49" s="188" t="s">
        <v>943</v>
      </c>
      <c r="C49" s="42" t="s">
        <v>102</v>
      </c>
      <c r="D49" s="42" t="s">
        <v>102</v>
      </c>
      <c r="E49" s="42" t="s">
        <v>102</v>
      </c>
      <c r="F49" s="42" t="s">
        <v>102</v>
      </c>
      <c r="G49" s="42" t="s">
        <v>102</v>
      </c>
      <c r="H49" s="42" t="s">
        <v>102</v>
      </c>
      <c r="I49" s="42" t="s">
        <v>102</v>
      </c>
      <c r="J49" s="42"/>
      <c r="K49" s="42"/>
      <c r="L49" s="42"/>
      <c r="M49" s="42"/>
      <c r="N49" s="42"/>
      <c r="O49" s="42"/>
      <c r="P49" s="42"/>
      <c r="Q49" s="42"/>
      <c r="R49" s="42"/>
      <c r="S49" s="42"/>
      <c r="T49" s="42"/>
      <c r="U49" s="42"/>
      <c r="V49" s="42"/>
      <c r="W49" s="42"/>
      <c r="X49" s="42"/>
    </row>
    <row r="50" spans="1:49" ht="62" customHeight="1">
      <c r="B50" s="188" t="s">
        <v>944</v>
      </c>
      <c r="C50" s="42" t="s">
        <v>102</v>
      </c>
      <c r="D50" s="42" t="s">
        <v>102</v>
      </c>
      <c r="E50" s="42" t="s">
        <v>102</v>
      </c>
      <c r="F50" s="42" t="s">
        <v>102</v>
      </c>
      <c r="G50" s="42" t="s">
        <v>102</v>
      </c>
      <c r="H50" s="42" t="s">
        <v>102</v>
      </c>
      <c r="I50" s="42" t="s">
        <v>102</v>
      </c>
      <c r="J50" s="42"/>
      <c r="K50" s="42"/>
      <c r="L50" s="42"/>
      <c r="M50" s="42"/>
      <c r="N50" s="42"/>
      <c r="O50" s="42"/>
      <c r="P50" s="42"/>
      <c r="Q50" s="42"/>
      <c r="R50" s="42"/>
      <c r="S50" s="42"/>
      <c r="T50" s="42"/>
      <c r="U50" s="42"/>
      <c r="V50" s="42"/>
      <c r="W50" s="42"/>
      <c r="X50" s="42"/>
    </row>
    <row r="51" spans="1:49" ht="31.5" thickBot="1">
      <c r="B51" s="240" t="s">
        <v>945</v>
      </c>
      <c r="C51" s="42" t="s">
        <v>102</v>
      </c>
      <c r="D51" s="42" t="s">
        <v>102</v>
      </c>
      <c r="E51" s="42" t="s">
        <v>102</v>
      </c>
      <c r="F51" s="42" t="s">
        <v>102</v>
      </c>
      <c r="G51" s="42" t="s">
        <v>102</v>
      </c>
      <c r="H51" s="42" t="s">
        <v>102</v>
      </c>
      <c r="I51" s="42" t="s">
        <v>102</v>
      </c>
      <c r="J51" s="42"/>
      <c r="K51" s="42"/>
      <c r="L51" s="42"/>
      <c r="M51" s="42"/>
      <c r="N51" s="42"/>
      <c r="O51" s="42"/>
      <c r="P51" s="42"/>
      <c r="Q51" s="42"/>
      <c r="R51" s="42"/>
      <c r="S51" s="42"/>
      <c r="T51" s="42"/>
      <c r="U51" s="42"/>
      <c r="V51" s="42"/>
      <c r="W51" s="42"/>
      <c r="X51" s="42"/>
    </row>
    <row r="52" spans="1:49" ht="15.5">
      <c r="B52" s="279" t="s">
        <v>946</v>
      </c>
      <c r="C52" s="280" t="s">
        <v>648</v>
      </c>
      <c r="D52" s="280"/>
      <c r="E52" s="280"/>
      <c r="F52" s="280"/>
      <c r="G52" s="280"/>
      <c r="H52" s="280"/>
      <c r="I52" s="280"/>
      <c r="J52" s="280"/>
      <c r="K52" s="280"/>
      <c r="L52" s="280"/>
      <c r="M52" s="280"/>
      <c r="N52" s="280"/>
      <c r="O52" s="280"/>
      <c r="P52" s="280"/>
      <c r="Q52" s="280"/>
      <c r="R52" s="280"/>
      <c r="S52" s="280"/>
      <c r="T52" s="280"/>
      <c r="U52" s="280"/>
      <c r="V52" s="280"/>
      <c r="W52" s="280"/>
      <c r="X52" s="281"/>
    </row>
    <row r="53" spans="1:49" ht="31" customHeight="1">
      <c r="A53" s="241" t="s">
        <v>648</v>
      </c>
      <c r="B53" s="188" t="s">
        <v>947</v>
      </c>
      <c r="C53" s="42" t="s">
        <v>650</v>
      </c>
      <c r="D53" s="42" t="s">
        <v>650</v>
      </c>
      <c r="E53" s="42" t="s">
        <v>650</v>
      </c>
      <c r="F53" s="42" t="s">
        <v>650</v>
      </c>
      <c r="G53" s="42" t="s">
        <v>650</v>
      </c>
      <c r="H53" s="42" t="s">
        <v>650</v>
      </c>
      <c r="I53" s="42" t="s">
        <v>650</v>
      </c>
      <c r="J53" s="42"/>
      <c r="K53" s="42"/>
      <c r="L53" s="42"/>
      <c r="M53" s="42"/>
      <c r="N53" s="42"/>
      <c r="O53" s="42"/>
      <c r="P53" s="42"/>
      <c r="Q53" s="42"/>
      <c r="R53" s="42"/>
      <c r="S53" s="42"/>
      <c r="T53" s="42"/>
      <c r="U53" s="42"/>
      <c r="V53" s="42"/>
      <c r="W53" s="42"/>
      <c r="X53" s="42"/>
    </row>
    <row r="54" spans="1:49" ht="62" customHeight="1">
      <c r="A54" s="241" t="s">
        <v>649</v>
      </c>
      <c r="B54" s="188" t="s">
        <v>948</v>
      </c>
      <c r="C54" s="256">
        <v>0</v>
      </c>
      <c r="D54" s="256">
        <v>0</v>
      </c>
      <c r="E54" s="256">
        <v>0</v>
      </c>
      <c r="F54" s="256">
        <v>0</v>
      </c>
      <c r="G54" s="256">
        <v>0</v>
      </c>
      <c r="H54" s="256">
        <v>0</v>
      </c>
      <c r="I54" s="256">
        <v>0</v>
      </c>
      <c r="J54" s="256"/>
      <c r="K54" s="256"/>
      <c r="L54" s="256"/>
      <c r="M54" s="256"/>
      <c r="N54" s="256"/>
      <c r="O54" s="256"/>
      <c r="P54" s="256"/>
      <c r="Q54" s="256"/>
      <c r="R54" s="256"/>
      <c r="S54" s="256"/>
      <c r="T54" s="256"/>
      <c r="U54" s="256"/>
      <c r="V54" s="256"/>
      <c r="W54" s="256"/>
      <c r="X54" s="256"/>
      <c r="Y54" s="277" t="s">
        <v>1085</v>
      </c>
      <c r="Z54" s="278"/>
      <c r="AA54" s="278"/>
      <c r="AB54" s="278"/>
      <c r="AC54" s="278"/>
      <c r="AD54" s="278"/>
      <c r="AE54" s="278"/>
      <c r="AF54" s="278"/>
      <c r="AG54" s="278"/>
      <c r="AH54" s="278"/>
      <c r="AI54" s="278"/>
      <c r="AJ54" s="278"/>
      <c r="AK54" s="278"/>
      <c r="AL54" s="278"/>
      <c r="AM54" s="278"/>
      <c r="AN54" s="278"/>
      <c r="AO54" s="278"/>
      <c r="AP54" s="278"/>
      <c r="AQ54" s="278"/>
      <c r="AR54" s="278"/>
      <c r="AS54" s="278"/>
      <c r="AT54" s="278"/>
      <c r="AU54" s="278"/>
      <c r="AV54" s="278"/>
      <c r="AW54" s="278"/>
    </row>
    <row r="55" spans="1:49" ht="78" customHeight="1" thickBot="1">
      <c r="A55" s="241" t="s">
        <v>650</v>
      </c>
      <c r="B55" s="239" t="s">
        <v>949</v>
      </c>
      <c r="C55" s="106" t="s">
        <v>648</v>
      </c>
      <c r="D55" s="106" t="s">
        <v>648</v>
      </c>
      <c r="E55" s="106" t="s">
        <v>648</v>
      </c>
      <c r="F55" s="106" t="s">
        <v>648</v>
      </c>
      <c r="G55" s="106" t="s">
        <v>648</v>
      </c>
      <c r="H55" s="106" t="s">
        <v>648</v>
      </c>
      <c r="I55" s="106" t="s">
        <v>648</v>
      </c>
      <c r="J55" s="106"/>
      <c r="K55" s="106"/>
      <c r="L55" s="106"/>
      <c r="M55" s="106"/>
      <c r="N55" s="106"/>
      <c r="O55" s="106"/>
      <c r="P55" s="106"/>
      <c r="Q55" s="106"/>
      <c r="R55" s="106"/>
      <c r="S55" s="106"/>
      <c r="T55" s="106"/>
      <c r="U55" s="106"/>
      <c r="V55" s="106"/>
      <c r="W55" s="106"/>
      <c r="X55" s="99"/>
    </row>
    <row r="56" spans="1:49" ht="16" thickBot="1">
      <c r="B56" s="226"/>
      <c r="C56" s="226"/>
      <c r="D56" s="226"/>
      <c r="E56" s="226"/>
      <c r="F56" s="226"/>
      <c r="G56" s="226"/>
    </row>
    <row r="57" spans="1:49" ht="16" thickBot="1">
      <c r="B57" s="269" t="s">
        <v>950</v>
      </c>
      <c r="C57" s="270"/>
      <c r="D57" s="226"/>
      <c r="E57" s="226"/>
      <c r="F57" s="226"/>
      <c r="G57" s="226"/>
    </row>
    <row r="58" spans="1:49" ht="15.5">
      <c r="B58" s="238" t="s">
        <v>933</v>
      </c>
      <c r="C58" s="42" t="s">
        <v>650</v>
      </c>
      <c r="D58" s="226"/>
      <c r="E58" s="226"/>
      <c r="F58" s="226"/>
      <c r="G58" s="226"/>
    </row>
    <row r="59" spans="1:49" ht="15.5">
      <c r="B59" s="188" t="s">
        <v>951</v>
      </c>
      <c r="C59" s="41" t="s">
        <v>102</v>
      </c>
      <c r="D59" s="226"/>
      <c r="E59" s="226"/>
      <c r="F59" s="226"/>
      <c r="G59" s="226"/>
    </row>
    <row r="60" spans="1:49" ht="16" thickBot="1">
      <c r="B60" s="239" t="s">
        <v>952</v>
      </c>
      <c r="C60" s="99" t="s">
        <v>102</v>
      </c>
      <c r="D60" s="226"/>
      <c r="E60" s="226"/>
      <c r="F60" s="226"/>
      <c r="G60" s="226"/>
    </row>
    <row r="61" spans="1:49" ht="16" thickBot="1">
      <c r="C61" s="226"/>
      <c r="D61" s="226"/>
      <c r="E61" s="226"/>
      <c r="F61" s="226"/>
      <c r="G61" s="226"/>
    </row>
    <row r="62" spans="1:49" ht="16" thickBot="1">
      <c r="B62" s="271" t="s">
        <v>961</v>
      </c>
      <c r="C62" s="272"/>
    </row>
    <row r="63" spans="1:49" ht="62.5" customHeight="1" thickBot="1">
      <c r="B63" s="231" t="s">
        <v>962</v>
      </c>
      <c r="C63" s="42" t="s">
        <v>650</v>
      </c>
    </row>
    <row r="64" spans="1:49" ht="14.5" thickBot="1"/>
    <row r="65" spans="2:24" ht="25.5" thickBot="1">
      <c r="B65" s="273" t="s">
        <v>964</v>
      </c>
      <c r="C65" s="274"/>
      <c r="D65" s="274"/>
      <c r="E65" s="274"/>
      <c r="F65" s="274"/>
      <c r="G65" s="274"/>
      <c r="H65" s="274"/>
      <c r="I65" s="274"/>
      <c r="J65" s="274"/>
      <c r="K65" s="274"/>
      <c r="L65" s="274"/>
      <c r="M65" s="274"/>
      <c r="N65" s="274"/>
      <c r="O65" s="274"/>
      <c r="P65" s="274"/>
      <c r="Q65" s="274"/>
      <c r="R65" s="274"/>
      <c r="S65" s="274"/>
      <c r="T65" s="274"/>
      <c r="U65" s="274"/>
      <c r="V65" s="274"/>
      <c r="W65" s="274"/>
      <c r="X65" s="275"/>
    </row>
    <row r="66" spans="2:24" s="226" customFormat="1" ht="31">
      <c r="B66" s="238" t="s">
        <v>965</v>
      </c>
      <c r="C66" s="194" t="str">
        <f>+C40</f>
        <v>Nord Stream AG</v>
      </c>
      <c r="D66" s="194" t="str">
        <f t="shared" ref="D66:X66" si="0">+D40</f>
        <v>Nord Stream AG (PE Germany)</v>
      </c>
      <c r="E66" s="194" t="str">
        <f t="shared" si="0"/>
        <v>Nord Stream AG (PE Russia)</v>
      </c>
      <c r="F66" s="194" t="str">
        <f t="shared" si="0"/>
        <v>Nord Stream AG (Stateless Permanent Establishment Germany)</v>
      </c>
      <c r="G66" s="194" t="str">
        <f t="shared" si="0"/>
        <v>Nord Stream AG (Stateless Permanent Establishment Denmark)</v>
      </c>
      <c r="H66" s="194" t="str">
        <f t="shared" si="0"/>
        <v>Nord Stream AG (Stateless Permanent Establishment Sweden)</v>
      </c>
      <c r="I66" s="194" t="str">
        <f t="shared" si="0"/>
        <v>Nord Stream AG (Stateless Permanent Establishment Finland)</v>
      </c>
      <c r="J66" s="194">
        <f t="shared" si="0"/>
        <v>0</v>
      </c>
      <c r="K66" s="194">
        <f t="shared" si="0"/>
        <v>0</v>
      </c>
      <c r="L66" s="194">
        <f t="shared" si="0"/>
        <v>0</v>
      </c>
      <c r="M66" s="194">
        <f t="shared" si="0"/>
        <v>0</v>
      </c>
      <c r="N66" s="194">
        <f t="shared" si="0"/>
        <v>0</v>
      </c>
      <c r="O66" s="194">
        <f t="shared" si="0"/>
        <v>0</v>
      </c>
      <c r="P66" s="194">
        <f t="shared" si="0"/>
        <v>0</v>
      </c>
      <c r="Q66" s="194">
        <f t="shared" si="0"/>
        <v>0</v>
      </c>
      <c r="R66" s="194">
        <f t="shared" si="0"/>
        <v>0</v>
      </c>
      <c r="S66" s="194">
        <f t="shared" si="0"/>
        <v>0</v>
      </c>
      <c r="T66" s="194">
        <f t="shared" si="0"/>
        <v>0</v>
      </c>
      <c r="U66" s="194">
        <f t="shared" si="0"/>
        <v>0</v>
      </c>
      <c r="V66" s="194">
        <f t="shared" si="0"/>
        <v>0</v>
      </c>
      <c r="W66" s="194">
        <f t="shared" si="0"/>
        <v>0</v>
      </c>
      <c r="X66" s="195">
        <f t="shared" si="0"/>
        <v>0</v>
      </c>
    </row>
    <row r="67" spans="2:24" s="226" customFormat="1" ht="15.5">
      <c r="B67" s="188" t="s">
        <v>963</v>
      </c>
      <c r="C67" s="42" t="str">
        <f>+C41</f>
        <v>CHE-112.660.698</v>
      </c>
      <c r="D67" s="42">
        <f t="shared" ref="D67:X67" si="1">+D41</f>
        <v>0</v>
      </c>
      <c r="E67" s="42">
        <f t="shared" si="1"/>
        <v>0</v>
      </c>
      <c r="F67" s="42" t="str">
        <f t="shared" si="1"/>
        <v>Stateless</v>
      </c>
      <c r="G67" s="42" t="str">
        <f t="shared" si="1"/>
        <v>Stateless</v>
      </c>
      <c r="H67" s="42" t="str">
        <f t="shared" si="1"/>
        <v>Stateless</v>
      </c>
      <c r="I67" s="42" t="str">
        <f t="shared" si="1"/>
        <v>Stateless</v>
      </c>
      <c r="J67" s="42">
        <f t="shared" si="1"/>
        <v>0</v>
      </c>
      <c r="K67" s="42">
        <f t="shared" si="1"/>
        <v>0</v>
      </c>
      <c r="L67" s="42">
        <f t="shared" si="1"/>
        <v>0</v>
      </c>
      <c r="M67" s="42">
        <f t="shared" si="1"/>
        <v>0</v>
      </c>
      <c r="N67" s="42">
        <f t="shared" si="1"/>
        <v>0</v>
      </c>
      <c r="O67" s="42">
        <f t="shared" si="1"/>
        <v>0</v>
      </c>
      <c r="P67" s="42">
        <f t="shared" si="1"/>
        <v>0</v>
      </c>
      <c r="Q67" s="42">
        <f t="shared" si="1"/>
        <v>0</v>
      </c>
      <c r="R67" s="42">
        <f t="shared" si="1"/>
        <v>0</v>
      </c>
      <c r="S67" s="42">
        <f t="shared" si="1"/>
        <v>0</v>
      </c>
      <c r="T67" s="42">
        <f t="shared" si="1"/>
        <v>0</v>
      </c>
      <c r="U67" s="42">
        <f t="shared" si="1"/>
        <v>0</v>
      </c>
      <c r="V67" s="42">
        <f t="shared" si="1"/>
        <v>0</v>
      </c>
      <c r="W67" s="42">
        <f t="shared" si="1"/>
        <v>0</v>
      </c>
      <c r="X67" s="42">
        <f t="shared" si="1"/>
        <v>0</v>
      </c>
    </row>
    <row r="68" spans="2:24" s="226" customFormat="1" ht="15.5">
      <c r="B68" s="188" t="s">
        <v>966</v>
      </c>
      <c r="C68" s="42" t="s">
        <v>102</v>
      </c>
      <c r="D68" s="42" t="s">
        <v>102</v>
      </c>
      <c r="E68" s="42" t="s">
        <v>102</v>
      </c>
      <c r="F68" s="42" t="s">
        <v>102</v>
      </c>
      <c r="G68" s="42" t="s">
        <v>102</v>
      </c>
      <c r="H68" s="42" t="s">
        <v>102</v>
      </c>
      <c r="I68" s="42" t="s">
        <v>102</v>
      </c>
      <c r="J68" s="42" t="s">
        <v>102</v>
      </c>
      <c r="K68" s="42" t="s">
        <v>102</v>
      </c>
      <c r="L68" s="42" t="s">
        <v>102</v>
      </c>
      <c r="M68" s="42" t="s">
        <v>102</v>
      </c>
      <c r="N68" s="42" t="s">
        <v>102</v>
      </c>
      <c r="O68" s="42" t="s">
        <v>102</v>
      </c>
      <c r="P68" s="42" t="s">
        <v>102</v>
      </c>
      <c r="Q68" s="42" t="s">
        <v>102</v>
      </c>
      <c r="R68" s="42" t="s">
        <v>102</v>
      </c>
      <c r="S68" s="42" t="s">
        <v>102</v>
      </c>
      <c r="T68" s="42" t="s">
        <v>102</v>
      </c>
      <c r="U68" s="42" t="s">
        <v>102</v>
      </c>
      <c r="V68" s="42" t="s">
        <v>102</v>
      </c>
      <c r="W68" s="42" t="s">
        <v>102</v>
      </c>
      <c r="X68" s="41" t="s">
        <v>102</v>
      </c>
    </row>
    <row r="69" spans="2:24" s="226" customFormat="1" ht="15.5">
      <c r="B69" s="188" t="s">
        <v>967</v>
      </c>
      <c r="C69" s="42" t="s">
        <v>102</v>
      </c>
      <c r="D69" s="42" t="s">
        <v>102</v>
      </c>
      <c r="E69" s="42" t="s">
        <v>102</v>
      </c>
      <c r="F69" s="42" t="s">
        <v>102</v>
      </c>
      <c r="G69" s="42" t="s">
        <v>102</v>
      </c>
      <c r="H69" s="42" t="s">
        <v>102</v>
      </c>
      <c r="I69" s="42" t="s">
        <v>102</v>
      </c>
      <c r="J69" s="42" t="s">
        <v>102</v>
      </c>
      <c r="K69" s="42" t="s">
        <v>102</v>
      </c>
      <c r="L69" s="42" t="s">
        <v>102</v>
      </c>
      <c r="M69" s="42" t="s">
        <v>102</v>
      </c>
      <c r="N69" s="42" t="s">
        <v>102</v>
      </c>
      <c r="O69" s="42" t="s">
        <v>102</v>
      </c>
      <c r="P69" s="42" t="s">
        <v>102</v>
      </c>
      <c r="Q69" s="42" t="s">
        <v>102</v>
      </c>
      <c r="R69" s="42" t="s">
        <v>102</v>
      </c>
      <c r="S69" s="42" t="s">
        <v>102</v>
      </c>
      <c r="T69" s="42" t="s">
        <v>102</v>
      </c>
      <c r="U69" s="42" t="s">
        <v>102</v>
      </c>
      <c r="V69" s="42" t="s">
        <v>102</v>
      </c>
      <c r="W69" s="42" t="s">
        <v>102</v>
      </c>
      <c r="X69" s="41" t="s">
        <v>102</v>
      </c>
    </row>
    <row r="70" spans="2:24" s="226" customFormat="1" ht="15.5">
      <c r="B70" s="188" t="s">
        <v>968</v>
      </c>
      <c r="C70" s="42" t="s">
        <v>102</v>
      </c>
      <c r="D70" s="42" t="s">
        <v>102</v>
      </c>
      <c r="E70" s="42" t="s">
        <v>102</v>
      </c>
      <c r="F70" s="42" t="s">
        <v>102</v>
      </c>
      <c r="G70" s="42" t="s">
        <v>102</v>
      </c>
      <c r="H70" s="42" t="s">
        <v>102</v>
      </c>
      <c r="I70" s="42" t="s">
        <v>102</v>
      </c>
      <c r="J70" s="42" t="s">
        <v>102</v>
      </c>
      <c r="K70" s="42" t="s">
        <v>102</v>
      </c>
      <c r="L70" s="42" t="s">
        <v>102</v>
      </c>
      <c r="M70" s="42" t="s">
        <v>102</v>
      </c>
      <c r="N70" s="42" t="s">
        <v>102</v>
      </c>
      <c r="O70" s="42" t="s">
        <v>102</v>
      </c>
      <c r="P70" s="42" t="s">
        <v>102</v>
      </c>
      <c r="Q70" s="42" t="s">
        <v>102</v>
      </c>
      <c r="R70" s="42" t="s">
        <v>102</v>
      </c>
      <c r="S70" s="42" t="s">
        <v>102</v>
      </c>
      <c r="T70" s="42" t="s">
        <v>102</v>
      </c>
      <c r="U70" s="42" t="s">
        <v>102</v>
      </c>
      <c r="V70" s="42" t="s">
        <v>102</v>
      </c>
      <c r="W70" s="42" t="s">
        <v>102</v>
      </c>
      <c r="X70" s="41" t="s">
        <v>102</v>
      </c>
    </row>
    <row r="71" spans="2:24" s="226" customFormat="1" ht="31">
      <c r="B71" s="188" t="s">
        <v>969</v>
      </c>
      <c r="C71" s="42" t="s">
        <v>102</v>
      </c>
      <c r="D71" s="42" t="s">
        <v>102</v>
      </c>
      <c r="E71" s="42" t="s">
        <v>102</v>
      </c>
      <c r="F71" s="42" t="s">
        <v>102</v>
      </c>
      <c r="G71" s="42" t="s">
        <v>102</v>
      </c>
      <c r="H71" s="42" t="s">
        <v>102</v>
      </c>
      <c r="I71" s="42" t="s">
        <v>102</v>
      </c>
      <c r="J71" s="42" t="s">
        <v>102</v>
      </c>
      <c r="K71" s="42" t="s">
        <v>102</v>
      </c>
      <c r="L71" s="42" t="s">
        <v>102</v>
      </c>
      <c r="M71" s="42" t="s">
        <v>102</v>
      </c>
      <c r="N71" s="42" t="s">
        <v>102</v>
      </c>
      <c r="O71" s="42" t="s">
        <v>102</v>
      </c>
      <c r="P71" s="42" t="s">
        <v>102</v>
      </c>
      <c r="Q71" s="42" t="s">
        <v>102</v>
      </c>
      <c r="R71" s="42" t="s">
        <v>102</v>
      </c>
      <c r="S71" s="42" t="s">
        <v>102</v>
      </c>
      <c r="T71" s="42" t="s">
        <v>102</v>
      </c>
      <c r="U71" s="42" t="s">
        <v>102</v>
      </c>
      <c r="V71" s="42" t="s">
        <v>102</v>
      </c>
      <c r="W71" s="42" t="s">
        <v>102</v>
      </c>
      <c r="X71" s="41" t="s">
        <v>102</v>
      </c>
    </row>
    <row r="72" spans="2:24" s="226" customFormat="1" ht="31">
      <c r="B72" s="188" t="s">
        <v>970</v>
      </c>
      <c r="C72" s="42" t="s">
        <v>102</v>
      </c>
      <c r="D72" s="42" t="s">
        <v>102</v>
      </c>
      <c r="E72" s="42" t="s">
        <v>102</v>
      </c>
      <c r="F72" s="42" t="s">
        <v>102</v>
      </c>
      <c r="G72" s="42" t="s">
        <v>102</v>
      </c>
      <c r="H72" s="42" t="s">
        <v>102</v>
      </c>
      <c r="I72" s="42" t="s">
        <v>102</v>
      </c>
      <c r="J72" s="42" t="s">
        <v>102</v>
      </c>
      <c r="K72" s="42" t="s">
        <v>102</v>
      </c>
      <c r="L72" s="42" t="s">
        <v>102</v>
      </c>
      <c r="M72" s="42" t="s">
        <v>102</v>
      </c>
      <c r="N72" s="42" t="s">
        <v>102</v>
      </c>
      <c r="O72" s="42" t="s">
        <v>102</v>
      </c>
      <c r="P72" s="42" t="s">
        <v>102</v>
      </c>
      <c r="Q72" s="42" t="s">
        <v>102</v>
      </c>
      <c r="R72" s="42" t="s">
        <v>102</v>
      </c>
      <c r="S72" s="42" t="s">
        <v>102</v>
      </c>
      <c r="T72" s="42" t="s">
        <v>102</v>
      </c>
      <c r="U72" s="42" t="s">
        <v>102</v>
      </c>
      <c r="V72" s="42" t="s">
        <v>102</v>
      </c>
      <c r="W72" s="42" t="s">
        <v>102</v>
      </c>
      <c r="X72" s="41" t="s">
        <v>102</v>
      </c>
    </row>
    <row r="73" spans="2:24" s="226" customFormat="1" ht="31.5" thickBot="1">
      <c r="B73" s="239" t="s">
        <v>971</v>
      </c>
      <c r="C73" s="106" t="s">
        <v>102</v>
      </c>
      <c r="D73" s="106" t="s">
        <v>102</v>
      </c>
      <c r="E73" s="106" t="s">
        <v>102</v>
      </c>
      <c r="F73" s="106" t="s">
        <v>102</v>
      </c>
      <c r="G73" s="106" t="s">
        <v>102</v>
      </c>
      <c r="H73" s="106" t="s">
        <v>102</v>
      </c>
      <c r="I73" s="106" t="s">
        <v>102</v>
      </c>
      <c r="J73" s="106" t="s">
        <v>102</v>
      </c>
      <c r="K73" s="106" t="s">
        <v>102</v>
      </c>
      <c r="L73" s="106" t="s">
        <v>102</v>
      </c>
      <c r="M73" s="106" t="s">
        <v>102</v>
      </c>
      <c r="N73" s="106" t="s">
        <v>102</v>
      </c>
      <c r="O73" s="106" t="s">
        <v>102</v>
      </c>
      <c r="P73" s="106" t="s">
        <v>102</v>
      </c>
      <c r="Q73" s="106" t="s">
        <v>102</v>
      </c>
      <c r="R73" s="106" t="s">
        <v>102</v>
      </c>
      <c r="S73" s="106" t="s">
        <v>102</v>
      </c>
      <c r="T73" s="106" t="s">
        <v>102</v>
      </c>
      <c r="U73" s="106" t="s">
        <v>102</v>
      </c>
      <c r="V73" s="106" t="s">
        <v>102</v>
      </c>
      <c r="W73" s="106" t="s">
        <v>102</v>
      </c>
      <c r="X73" s="99" t="s">
        <v>102</v>
      </c>
    </row>
    <row r="76" spans="2:24" ht="15.5">
      <c r="B76" s="254"/>
      <c r="C76" s="241" t="s">
        <v>102</v>
      </c>
    </row>
    <row r="77" spans="2:24">
      <c r="B77" s="241" t="s">
        <v>1055</v>
      </c>
      <c r="C77" s="241" t="s">
        <v>1073</v>
      </c>
      <c r="D77" s="241" t="s">
        <v>1079</v>
      </c>
    </row>
    <row r="78" spans="2:24">
      <c r="B78" s="241" t="s">
        <v>1056</v>
      </c>
      <c r="C78" s="241" t="s">
        <v>1074</v>
      </c>
      <c r="D78" s="241" t="s">
        <v>1080</v>
      </c>
    </row>
    <row r="79" spans="2:24">
      <c r="B79" s="241" t="s">
        <v>1057</v>
      </c>
      <c r="C79" s="241" t="s">
        <v>1075</v>
      </c>
      <c r="D79" s="241" t="s">
        <v>1081</v>
      </c>
    </row>
    <row r="80" spans="2:24">
      <c r="B80" s="241" t="s">
        <v>1058</v>
      </c>
      <c r="C80" s="241" t="s">
        <v>1076</v>
      </c>
      <c r="D80" s="241" t="s">
        <v>1082</v>
      </c>
    </row>
    <row r="81" spans="2:4">
      <c r="B81" s="241" t="s">
        <v>1059</v>
      </c>
      <c r="C81" s="241" t="s">
        <v>1077</v>
      </c>
      <c r="D81" s="241" t="s">
        <v>1083</v>
      </c>
    </row>
    <row r="82" spans="2:4">
      <c r="B82" s="241" t="s">
        <v>1060</v>
      </c>
      <c r="C82" s="241" t="s">
        <v>1078</v>
      </c>
      <c r="D82" s="241" t="s">
        <v>1084</v>
      </c>
    </row>
    <row r="83" spans="2:4">
      <c r="B83" s="241" t="s">
        <v>1061</v>
      </c>
      <c r="C83" s="241"/>
      <c r="D83" s="241"/>
    </row>
    <row r="84" spans="2:4">
      <c r="B84" s="241" t="s">
        <v>1062</v>
      </c>
    </row>
    <row r="85" spans="2:4">
      <c r="B85" s="241" t="s">
        <v>1063</v>
      </c>
    </row>
    <row r="86" spans="2:4">
      <c r="B86" s="241" t="s">
        <v>1064</v>
      </c>
    </row>
    <row r="87" spans="2:4">
      <c r="B87" s="241" t="s">
        <v>1065</v>
      </c>
    </row>
    <row r="88" spans="2:4">
      <c r="B88" s="241" t="s">
        <v>1066</v>
      </c>
    </row>
    <row r="89" spans="2:4">
      <c r="B89" s="241" t="s">
        <v>1067</v>
      </c>
    </row>
    <row r="90" spans="2:4">
      <c r="B90" s="241" t="s">
        <v>1068</v>
      </c>
    </row>
    <row r="91" spans="2:4">
      <c r="B91" s="241" t="s">
        <v>1069</v>
      </c>
    </row>
    <row r="92" spans="2:4">
      <c r="B92" s="241" t="s">
        <v>1070</v>
      </c>
    </row>
    <row r="93" spans="2:4">
      <c r="B93" s="241" t="s">
        <v>1071</v>
      </c>
    </row>
    <row r="94" spans="2:4">
      <c r="B94" s="241" t="s">
        <v>1072</v>
      </c>
    </row>
    <row r="95" spans="2:4">
      <c r="B95" s="253"/>
    </row>
    <row r="97" spans="2:2">
      <c r="B97" s="253"/>
    </row>
    <row r="99" spans="2:2">
      <c r="B99" s="253"/>
    </row>
    <row r="101" spans="2:2">
      <c r="B101" s="253"/>
    </row>
    <row r="103" spans="2:2">
      <c r="B103" s="253"/>
    </row>
    <row r="105" spans="2:2">
      <c r="B105" s="253"/>
    </row>
    <row r="107" spans="2:2">
      <c r="B107" s="253"/>
    </row>
    <row r="109" spans="2:2">
      <c r="B109" s="253"/>
    </row>
    <row r="111" spans="2:2">
      <c r="B111" s="253"/>
    </row>
    <row r="113" spans="2:2">
      <c r="B113" s="253"/>
    </row>
  </sheetData>
  <mergeCells count="19">
    <mergeCell ref="B62:C62"/>
    <mergeCell ref="B65:X65"/>
    <mergeCell ref="E16:O18"/>
    <mergeCell ref="Y54:AW54"/>
    <mergeCell ref="B34:C34"/>
    <mergeCell ref="B36:X36"/>
    <mergeCell ref="B39:X39"/>
    <mergeCell ref="B44:X44"/>
    <mergeCell ref="B48:X48"/>
    <mergeCell ref="B52:X52"/>
    <mergeCell ref="B16:D16"/>
    <mergeCell ref="B21:G21"/>
    <mergeCell ref="B23:C23"/>
    <mergeCell ref="B33:C33"/>
    <mergeCell ref="B4:G4"/>
    <mergeCell ref="B2:G2"/>
    <mergeCell ref="B9:G9"/>
    <mergeCell ref="B11:E11"/>
    <mergeCell ref="B57:C57"/>
  </mergeCells>
  <dataValidations count="8">
    <dataValidation type="list" allowBlank="1" showInputMessage="1" showErrorMessage="1" sqref="C52" xr:uid="{3B6EF8B0-1AD7-434D-B208-8B247246D8A8}">
      <formula1>$B$183:$B$185</formula1>
    </dataValidation>
    <dataValidation type="list" allowBlank="1" showInputMessage="1" showErrorMessage="1" sqref="E13 B6 C55:X55 D35 C53:X53 C58 C63" xr:uid="{53D4171E-AC36-4D83-B4C2-9342A609B32D}">
      <formula1>$A$53:$A$55</formula1>
    </dataValidation>
    <dataValidation type="list" allowBlank="1" showInputMessage="1" showErrorMessage="1" sqref="E6" xr:uid="{11253359-053D-4A8C-9D83-64E44E1B1848}">
      <formula1>$A$3:$A$8</formula1>
    </dataValidation>
    <dataValidation type="list" allowBlank="1" showInputMessage="1" showErrorMessage="1" sqref="B18" xr:uid="{A90E0312-9503-4D80-BC00-446B49D67632}">
      <formula1>$A$13:$A$17</formula1>
    </dataValidation>
    <dataValidation type="list" allowBlank="1" showInputMessage="1" showErrorMessage="1" sqref="C25 C38:X38" xr:uid="{E2972FEF-ED04-4A75-B137-2ED7D718D123}">
      <formula1>$A$23:$A$28</formula1>
    </dataValidation>
    <dataValidation type="list" allowBlank="1" showInputMessage="1" showErrorMessage="1" sqref="C29 C43:X43" xr:uid="{543F3900-B424-41AF-B0BA-7352D99FD3FB}">
      <formula1>$B$77:$B$94</formula1>
    </dataValidation>
    <dataValidation type="list" allowBlank="1" showInputMessage="1" showErrorMessage="1" sqref="C30" xr:uid="{4426F1B7-785B-492B-9711-653FCEA41FB6}">
      <formula1>$C$76:$C$82</formula1>
    </dataValidation>
    <dataValidation type="list" allowBlank="1" showInputMessage="1" showErrorMessage="1" sqref="C45:X45" xr:uid="{838C35A7-457D-4082-A033-007B17D3FF66}">
      <formula1>$D$77:$D$82</formula1>
    </dataValidation>
  </dataValidation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0E40D-BB8B-4ABF-847F-6BEE245411F8}">
  <dimension ref="A1:C88"/>
  <sheetViews>
    <sheetView zoomScale="55" zoomScaleNormal="55" workbookViewId="0">
      <selection activeCell="C40" sqref="C40"/>
    </sheetView>
  </sheetViews>
  <sheetFormatPr baseColWidth="10" defaultRowHeight="14"/>
  <cols>
    <col min="2" max="2" width="93.4140625" customWidth="1"/>
    <col min="3" max="3" width="72.6640625" customWidth="1"/>
  </cols>
  <sheetData>
    <row r="1" spans="1:3" ht="14.5" thickBot="1"/>
    <row r="2" spans="1:3" ht="25.5" customHeight="1" thickBot="1">
      <c r="B2" s="263" t="s">
        <v>972</v>
      </c>
      <c r="C2" s="264"/>
    </row>
    <row r="3" spans="1:3" ht="15.5">
      <c r="B3" s="226" t="s">
        <v>973</v>
      </c>
    </row>
    <row r="4" spans="1:3" ht="14.5" thickBot="1"/>
    <row r="5" spans="1:3" ht="25.5" customHeight="1" thickBot="1">
      <c r="B5" s="263" t="s">
        <v>974</v>
      </c>
      <c r="C5" s="265"/>
    </row>
    <row r="6" spans="1:3" ht="15.5">
      <c r="B6" s="238" t="s">
        <v>463</v>
      </c>
      <c r="C6" s="41" t="s">
        <v>2</v>
      </c>
    </row>
    <row r="7" spans="1:3" ht="15.5">
      <c r="B7" s="188" t="s">
        <v>975</v>
      </c>
      <c r="C7" s="41" t="s">
        <v>102</v>
      </c>
    </row>
    <row r="8" spans="1:3" ht="15.5">
      <c r="B8" s="188" t="s">
        <v>976</v>
      </c>
      <c r="C8" s="41" t="s">
        <v>102</v>
      </c>
    </row>
    <row r="9" spans="1:3" ht="15.5">
      <c r="B9" s="188" t="s">
        <v>977</v>
      </c>
      <c r="C9" s="41" t="str">
        <f>+C6</f>
        <v>Switzerland</v>
      </c>
    </row>
    <row r="10" spans="1:3" ht="16" thickBot="1">
      <c r="A10" s="241" t="s">
        <v>648</v>
      </c>
      <c r="B10" s="239" t="s">
        <v>978</v>
      </c>
      <c r="C10" s="99" t="s">
        <v>650</v>
      </c>
    </row>
    <row r="11" spans="1:3" ht="14.5" thickBot="1">
      <c r="A11" s="241" t="s">
        <v>649</v>
      </c>
    </row>
    <row r="12" spans="1:3" ht="25.5" thickBot="1">
      <c r="A12" s="241" t="s">
        <v>650</v>
      </c>
      <c r="B12" s="263" t="s">
        <v>979</v>
      </c>
      <c r="C12" s="265"/>
    </row>
    <row r="13" spans="1:3" ht="14.5" thickBot="1"/>
    <row r="14" spans="1:3" ht="16" thickBot="1">
      <c r="B14" s="282" t="s">
        <v>980</v>
      </c>
      <c r="C14" s="283"/>
    </row>
    <row r="15" spans="1:3" ht="16" thickBot="1">
      <c r="B15" s="282" t="s">
        <v>981</v>
      </c>
      <c r="C15" s="283"/>
    </row>
    <row r="16" spans="1:3" ht="15.5">
      <c r="A16" s="241" t="s">
        <v>988</v>
      </c>
      <c r="B16" s="238" t="s">
        <v>985</v>
      </c>
      <c r="C16" s="244" t="str">
        <f>+C6</f>
        <v>Switzerland</v>
      </c>
    </row>
    <row r="17" spans="1:3" ht="16" thickBot="1">
      <c r="A17" s="241" t="s">
        <v>986</v>
      </c>
      <c r="B17" s="239" t="s">
        <v>982</v>
      </c>
      <c r="C17" s="99" t="s">
        <v>1087</v>
      </c>
    </row>
    <row r="18" spans="1:3" ht="16" thickBot="1">
      <c r="A18" s="241" t="s">
        <v>987</v>
      </c>
      <c r="B18" s="226"/>
      <c r="C18" s="226"/>
    </row>
    <row r="19" spans="1:3" ht="16" thickBot="1">
      <c r="A19" s="241" t="s">
        <v>102</v>
      </c>
      <c r="B19" s="266" t="s">
        <v>983</v>
      </c>
      <c r="C19" s="267"/>
    </row>
    <row r="20" spans="1:3" ht="16" thickBot="1">
      <c r="B20" s="282" t="s">
        <v>984</v>
      </c>
      <c r="C20" s="284"/>
    </row>
    <row r="21" spans="1:3" ht="15.5">
      <c r="B21" s="279" t="s">
        <v>991</v>
      </c>
      <c r="C21" s="280"/>
    </row>
    <row r="22" spans="1:3" ht="15.5">
      <c r="B22" s="243" t="str">
        <f>+B16</f>
        <v>Name of the jurisdiction</v>
      </c>
      <c r="C22" s="245" t="str">
        <f t="shared" ref="C22" si="0">+C16</f>
        <v>Switzerland</v>
      </c>
    </row>
    <row r="23" spans="1:3" ht="15.5">
      <c r="B23" s="188" t="s">
        <v>990</v>
      </c>
      <c r="C23" s="42"/>
    </row>
    <row r="24" spans="1:3" ht="15.5">
      <c r="B24" s="188" t="s">
        <v>992</v>
      </c>
      <c r="C24" s="42"/>
    </row>
    <row r="25" spans="1:3" ht="15.5">
      <c r="B25" s="188" t="s">
        <v>993</v>
      </c>
      <c r="C25" s="42"/>
    </row>
    <row r="26" spans="1:3" ht="16" thickBot="1">
      <c r="B26" s="239" t="s">
        <v>989</v>
      </c>
      <c r="C26" s="106"/>
    </row>
    <row r="27" spans="1:3" ht="15.5">
      <c r="B27" s="279" t="s">
        <v>994</v>
      </c>
      <c r="C27" s="280"/>
    </row>
    <row r="28" spans="1:3" ht="15.5">
      <c r="B28" s="243" t="str">
        <f>+B22</f>
        <v>Name of the jurisdiction</v>
      </c>
      <c r="C28" s="245" t="str">
        <f t="shared" ref="C28" si="1">+C22</f>
        <v>Switzerland</v>
      </c>
    </row>
    <row r="29" spans="1:3" ht="15.5">
      <c r="B29" s="188" t="s">
        <v>990</v>
      </c>
      <c r="C29" s="42"/>
    </row>
    <row r="30" spans="1:3" ht="15.5">
      <c r="B30" s="188" t="s">
        <v>992</v>
      </c>
      <c r="C30" s="42"/>
    </row>
    <row r="31" spans="1:3" ht="15.5">
      <c r="B31" s="188" t="s">
        <v>993</v>
      </c>
      <c r="C31" s="42"/>
    </row>
    <row r="32" spans="1:3" ht="16" thickBot="1">
      <c r="B32" s="239" t="s">
        <v>989</v>
      </c>
      <c r="C32" s="106"/>
    </row>
    <row r="33" spans="2:3" ht="14.5" thickBot="1"/>
    <row r="34" spans="2:3" ht="16" thickBot="1">
      <c r="B34" s="282" t="s">
        <v>995</v>
      </c>
      <c r="C34" s="283"/>
    </row>
    <row r="35" spans="2:3" ht="16" thickBot="1">
      <c r="B35" s="282" t="s">
        <v>996</v>
      </c>
      <c r="C35" s="283"/>
    </row>
    <row r="36" spans="2:3" ht="15.5">
      <c r="B36" s="246" t="str">
        <f>+B22</f>
        <v>Name of the jurisdiction</v>
      </c>
      <c r="C36" s="247" t="str">
        <f>+C28</f>
        <v>Switzerland</v>
      </c>
    </row>
    <row r="37" spans="2:3" ht="15.5">
      <c r="B37" s="188" t="s">
        <v>997</v>
      </c>
      <c r="C37" s="41">
        <v>34</v>
      </c>
    </row>
    <row r="38" spans="2:3" ht="15.5">
      <c r="B38" s="188" t="s">
        <v>998</v>
      </c>
      <c r="C38" s="41">
        <v>234</v>
      </c>
    </row>
    <row r="39" spans="2:3" ht="16" thickBot="1">
      <c r="B39" s="239" t="s">
        <v>999</v>
      </c>
      <c r="C39" s="99">
        <v>4332</v>
      </c>
    </row>
    <row r="40" spans="2:3" ht="14.5" thickBot="1"/>
    <row r="41" spans="2:3" ht="16" thickBot="1">
      <c r="B41" s="282" t="s">
        <v>1000</v>
      </c>
      <c r="C41" s="283"/>
    </row>
    <row r="42" spans="2:3" ht="16" thickBot="1">
      <c r="B42" s="231" t="s">
        <v>1001</v>
      </c>
      <c r="C42" s="149"/>
    </row>
    <row r="43" spans="2:3" ht="14.5" thickBot="1"/>
    <row r="44" spans="2:3" ht="16" thickBot="1">
      <c r="B44" s="266" t="s">
        <v>1002</v>
      </c>
      <c r="C44" s="268"/>
    </row>
    <row r="45" spans="2:3" ht="15.5">
      <c r="B45" s="248" t="s">
        <v>1003</v>
      </c>
      <c r="C45" s="195" t="s">
        <v>650</v>
      </c>
    </row>
    <row r="46" spans="2:3" ht="16" thickBot="1">
      <c r="B46" s="249" t="s">
        <v>1004</v>
      </c>
      <c r="C46" s="99" t="s">
        <v>650</v>
      </c>
    </row>
    <row r="47" spans="2:3" ht="15.5">
      <c r="B47" s="287" t="s">
        <v>1008</v>
      </c>
      <c r="C47" s="288"/>
    </row>
    <row r="48" spans="2:3" ht="15.5">
      <c r="B48" s="250" t="s">
        <v>990</v>
      </c>
      <c r="C48" s="41"/>
    </row>
    <row r="49" spans="2:3" ht="15.5">
      <c r="B49" s="250" t="s">
        <v>1005</v>
      </c>
      <c r="C49" s="41"/>
    </row>
    <row r="50" spans="2:3" ht="15.5">
      <c r="B50" s="250" t="s">
        <v>1006</v>
      </c>
      <c r="C50" s="41"/>
    </row>
    <row r="51" spans="2:3" ht="16" thickBot="1">
      <c r="B51" s="251" t="s">
        <v>1010</v>
      </c>
      <c r="C51" s="99"/>
    </row>
    <row r="52" spans="2:3" ht="15.5">
      <c r="B52" s="287" t="s">
        <v>1007</v>
      </c>
      <c r="C52" s="288"/>
    </row>
    <row r="53" spans="2:3" ht="15.5">
      <c r="B53" s="250" t="s">
        <v>990</v>
      </c>
      <c r="C53" s="41"/>
    </row>
    <row r="54" spans="2:3" ht="15.5">
      <c r="B54" s="250" t="s">
        <v>1005</v>
      </c>
      <c r="C54" s="41"/>
    </row>
    <row r="55" spans="2:3" ht="15.5">
      <c r="B55" s="250" t="s">
        <v>1006</v>
      </c>
      <c r="C55" s="41"/>
    </row>
    <row r="56" spans="2:3" ht="16" thickBot="1">
      <c r="B56" s="251" t="s">
        <v>1010</v>
      </c>
      <c r="C56" s="99"/>
    </row>
    <row r="57" spans="2:3" ht="15.5">
      <c r="B57" s="287" t="s">
        <v>1009</v>
      </c>
      <c r="C57" s="288"/>
    </row>
    <row r="58" spans="2:3" ht="15.5">
      <c r="B58" s="250" t="s">
        <v>990</v>
      </c>
      <c r="C58" s="41"/>
    </row>
    <row r="59" spans="2:3" ht="15.5">
      <c r="B59" s="250" t="s">
        <v>1005</v>
      </c>
      <c r="C59" s="41"/>
    </row>
    <row r="60" spans="2:3" ht="15.5">
      <c r="B60" s="250" t="s">
        <v>1006</v>
      </c>
      <c r="C60" s="41"/>
    </row>
    <row r="61" spans="2:3" ht="16" thickBot="1">
      <c r="B61" s="251" t="s">
        <v>1010</v>
      </c>
      <c r="C61" s="99"/>
    </row>
    <row r="62" spans="2:3" ht="15.5">
      <c r="B62" s="287" t="s">
        <v>1011</v>
      </c>
      <c r="C62" s="288"/>
    </row>
    <row r="63" spans="2:3" ht="15.5">
      <c r="B63" s="250" t="s">
        <v>990</v>
      </c>
      <c r="C63" s="41"/>
    </row>
    <row r="64" spans="2:3" ht="15.5">
      <c r="B64" s="250" t="s">
        <v>1005</v>
      </c>
      <c r="C64" s="41"/>
    </row>
    <row r="65" spans="2:3" ht="15.5">
      <c r="B65" s="250" t="s">
        <v>1006</v>
      </c>
      <c r="C65" s="41"/>
    </row>
    <row r="66" spans="2:3" ht="16" thickBot="1">
      <c r="B66" s="239" t="s">
        <v>1010</v>
      </c>
      <c r="C66" s="99"/>
    </row>
    <row r="67" spans="2:3" ht="14.5" thickBot="1"/>
    <row r="68" spans="2:3" ht="16" thickBot="1">
      <c r="B68" s="266" t="s">
        <v>1012</v>
      </c>
      <c r="C68" s="268"/>
    </row>
    <row r="69" spans="2:3" ht="31">
      <c r="B69" s="238" t="s">
        <v>1013</v>
      </c>
      <c r="C69" s="195"/>
    </row>
    <row r="70" spans="2:3" ht="15.5">
      <c r="B70" s="188" t="s">
        <v>1014</v>
      </c>
      <c r="C70" s="41"/>
    </row>
    <row r="71" spans="2:3" ht="31">
      <c r="B71" s="188" t="s">
        <v>1015</v>
      </c>
      <c r="C71" s="41"/>
    </row>
    <row r="72" spans="2:3" ht="31">
      <c r="B72" s="188" t="s">
        <v>1016</v>
      </c>
      <c r="C72" s="41"/>
    </row>
    <row r="73" spans="2:3" ht="31" customHeight="1">
      <c r="B73" s="285" t="s">
        <v>1020</v>
      </c>
      <c r="C73" s="286"/>
    </row>
    <row r="74" spans="2:3" ht="15.5">
      <c r="B74" s="188" t="s">
        <v>1021</v>
      </c>
      <c r="C74" s="41"/>
    </row>
    <row r="75" spans="2:3" ht="15.5">
      <c r="B75" s="188" t="s">
        <v>1017</v>
      </c>
      <c r="C75" s="41"/>
    </row>
    <row r="76" spans="2:3" ht="31">
      <c r="B76" s="188" t="s">
        <v>1018</v>
      </c>
      <c r="C76" s="41"/>
    </row>
    <row r="77" spans="2:3" ht="31.5" thickBot="1">
      <c r="B77" s="239" t="s">
        <v>1019</v>
      </c>
      <c r="C77" s="99"/>
    </row>
    <row r="79" spans="2:3">
      <c r="B79" s="241" t="s">
        <v>102</v>
      </c>
    </row>
    <row r="80" spans="2:3">
      <c r="B80" s="241" t="s">
        <v>1086</v>
      </c>
    </row>
    <row r="81" spans="2:2">
      <c r="B81" s="241" t="s">
        <v>1087</v>
      </c>
    </row>
    <row r="82" spans="2:2">
      <c r="B82" s="241" t="s">
        <v>1094</v>
      </c>
    </row>
    <row r="83" spans="2:2">
      <c r="B83" s="241" t="s">
        <v>1088</v>
      </c>
    </row>
    <row r="84" spans="2:2">
      <c r="B84" s="241" t="s">
        <v>1089</v>
      </c>
    </row>
    <row r="85" spans="2:2">
      <c r="B85" s="241" t="s">
        <v>1090</v>
      </c>
    </row>
    <row r="86" spans="2:2">
      <c r="B86" s="241" t="s">
        <v>1091</v>
      </c>
    </row>
    <row r="87" spans="2:2">
      <c r="B87" s="241" t="s">
        <v>1092</v>
      </c>
    </row>
    <row r="88" spans="2:2">
      <c r="B88" s="241" t="s">
        <v>1093</v>
      </c>
    </row>
  </sheetData>
  <mergeCells count="19">
    <mergeCell ref="B68:C68"/>
    <mergeCell ref="B73:C73"/>
    <mergeCell ref="B41:C41"/>
    <mergeCell ref="B44:C44"/>
    <mergeCell ref="B47:C47"/>
    <mergeCell ref="B52:C52"/>
    <mergeCell ref="B57:C57"/>
    <mergeCell ref="B62:C62"/>
    <mergeCell ref="B2:C2"/>
    <mergeCell ref="B35:C35"/>
    <mergeCell ref="B5:C5"/>
    <mergeCell ref="B12:C12"/>
    <mergeCell ref="B14:C14"/>
    <mergeCell ref="B15:C15"/>
    <mergeCell ref="B19:C19"/>
    <mergeCell ref="B20:C20"/>
    <mergeCell ref="B21:C21"/>
    <mergeCell ref="B27:C27"/>
    <mergeCell ref="B34:C34"/>
  </mergeCells>
  <dataValidations count="2">
    <dataValidation type="list" allowBlank="1" showInputMessage="1" showErrorMessage="1" sqref="C10 C45:C46" xr:uid="{6D091991-673E-4F27-8A49-A03C6FD092B0}">
      <formula1>$A$10:$A$12</formula1>
    </dataValidation>
    <dataValidation type="list" allowBlank="1" showInputMessage="1" showErrorMessage="1" sqref="C17" xr:uid="{33361B4D-AD94-435E-A49E-3AFB29CA65D3}">
      <formula1>$B$79:$B$88</formula1>
    </dataValidation>
  </dataValidation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00C20-07D5-4198-BC60-8C717FC067DE}">
  <dimension ref="A1:E88"/>
  <sheetViews>
    <sheetView zoomScale="55" zoomScaleNormal="55" workbookViewId="0">
      <selection activeCell="C40" sqref="C40"/>
    </sheetView>
  </sheetViews>
  <sheetFormatPr baseColWidth="10" defaultRowHeight="14"/>
  <cols>
    <col min="2" max="2" width="93.4140625" customWidth="1"/>
    <col min="3" max="3" width="72.6640625" customWidth="1"/>
  </cols>
  <sheetData>
    <row r="1" spans="1:3" ht="14.5" thickBot="1"/>
    <row r="2" spans="1:3" ht="25.5" customHeight="1" thickBot="1">
      <c r="B2" s="263" t="s">
        <v>972</v>
      </c>
      <c r="C2" s="264"/>
    </row>
    <row r="3" spans="1:3" ht="15.5">
      <c r="B3" s="226" t="s">
        <v>973</v>
      </c>
    </row>
    <row r="4" spans="1:3" ht="14.5" thickBot="1"/>
    <row r="5" spans="1:3" ht="25.5" customHeight="1" thickBot="1">
      <c r="B5" s="263" t="s">
        <v>974</v>
      </c>
      <c r="C5" s="265"/>
    </row>
    <row r="6" spans="1:3" ht="15.5">
      <c r="B6" s="238" t="s">
        <v>463</v>
      </c>
      <c r="C6" s="41" t="s">
        <v>957</v>
      </c>
    </row>
    <row r="7" spans="1:3" ht="15.5">
      <c r="B7" s="188" t="s">
        <v>975</v>
      </c>
      <c r="C7" s="41" t="s">
        <v>102</v>
      </c>
    </row>
    <row r="8" spans="1:3" ht="15.5">
      <c r="B8" s="188" t="s">
        <v>976</v>
      </c>
      <c r="C8" s="41" t="s">
        <v>102</v>
      </c>
    </row>
    <row r="9" spans="1:3" ht="15.5">
      <c r="B9" s="188" t="s">
        <v>977</v>
      </c>
      <c r="C9" s="41" t="str">
        <f>+C6</f>
        <v>Germany</v>
      </c>
    </row>
    <row r="10" spans="1:3" ht="16" thickBot="1">
      <c r="A10" s="241" t="s">
        <v>648</v>
      </c>
      <c r="B10" s="239" t="s">
        <v>978</v>
      </c>
      <c r="C10" s="99" t="s">
        <v>650</v>
      </c>
    </row>
    <row r="11" spans="1:3" ht="14.5" thickBot="1">
      <c r="A11" s="241" t="s">
        <v>649</v>
      </c>
    </row>
    <row r="12" spans="1:3" ht="25.5" thickBot="1">
      <c r="A12" s="241" t="s">
        <v>650</v>
      </c>
      <c r="B12" s="263" t="s">
        <v>979</v>
      </c>
      <c r="C12" s="265"/>
    </row>
    <row r="13" spans="1:3" ht="14.5" thickBot="1"/>
    <row r="14" spans="1:3" ht="16" thickBot="1">
      <c r="B14" s="282" t="s">
        <v>980</v>
      </c>
      <c r="C14" s="283"/>
    </row>
    <row r="15" spans="1:3" ht="16" thickBot="1">
      <c r="B15" s="282" t="s">
        <v>981</v>
      </c>
      <c r="C15" s="283"/>
    </row>
    <row r="16" spans="1:3" ht="15.5">
      <c r="A16" s="241" t="s">
        <v>988</v>
      </c>
      <c r="B16" s="238" t="s">
        <v>985</v>
      </c>
      <c r="C16" s="244" t="str">
        <f>+C6</f>
        <v>Germany</v>
      </c>
    </row>
    <row r="17" spans="1:3" ht="16" thickBot="1">
      <c r="A17" s="241" t="s">
        <v>986</v>
      </c>
      <c r="B17" s="239" t="s">
        <v>982</v>
      </c>
      <c r="C17" s="99" t="s">
        <v>1087</v>
      </c>
    </row>
    <row r="18" spans="1:3" ht="16" thickBot="1">
      <c r="A18" s="241" t="s">
        <v>987</v>
      </c>
      <c r="B18" s="226"/>
      <c r="C18" s="226"/>
    </row>
    <row r="19" spans="1:3" ht="16" thickBot="1">
      <c r="A19" s="241" t="s">
        <v>102</v>
      </c>
      <c r="B19" s="266" t="s">
        <v>983</v>
      </c>
      <c r="C19" s="267"/>
    </row>
    <row r="20" spans="1:3" ht="16" thickBot="1">
      <c r="B20" s="282" t="s">
        <v>984</v>
      </c>
      <c r="C20" s="284"/>
    </row>
    <row r="21" spans="1:3" ht="15.5">
      <c r="B21" s="279" t="s">
        <v>991</v>
      </c>
      <c r="C21" s="280"/>
    </row>
    <row r="22" spans="1:3" ht="15.5">
      <c r="B22" s="243" t="str">
        <f>+B16</f>
        <v>Name of the jurisdiction</v>
      </c>
      <c r="C22" s="245" t="str">
        <f t="shared" ref="C22" si="0">+C16</f>
        <v>Germany</v>
      </c>
    </row>
    <row r="23" spans="1:3" ht="15.5">
      <c r="B23" s="188" t="s">
        <v>990</v>
      </c>
      <c r="C23" s="42"/>
    </row>
    <row r="24" spans="1:3" ht="15.5">
      <c r="B24" s="188" t="s">
        <v>992</v>
      </c>
      <c r="C24" s="42"/>
    </row>
    <row r="25" spans="1:3" ht="15.5">
      <c r="B25" s="188" t="s">
        <v>993</v>
      </c>
      <c r="C25" s="42"/>
    </row>
    <row r="26" spans="1:3" ht="16" thickBot="1">
      <c r="B26" s="239" t="s">
        <v>989</v>
      </c>
      <c r="C26" s="106"/>
    </row>
    <row r="27" spans="1:3" ht="15.5">
      <c r="B27" s="279" t="s">
        <v>994</v>
      </c>
      <c r="C27" s="280"/>
    </row>
    <row r="28" spans="1:3" ht="15.5">
      <c r="B28" s="243" t="str">
        <f>+B22</f>
        <v>Name of the jurisdiction</v>
      </c>
      <c r="C28" s="245" t="str">
        <f t="shared" ref="C28" si="1">+C22</f>
        <v>Germany</v>
      </c>
    </row>
    <row r="29" spans="1:3" ht="15.5">
      <c r="B29" s="188" t="s">
        <v>990</v>
      </c>
      <c r="C29" s="42"/>
    </row>
    <row r="30" spans="1:3" ht="15.5">
      <c r="B30" s="188" t="s">
        <v>992</v>
      </c>
      <c r="C30" s="42"/>
    </row>
    <row r="31" spans="1:3" ht="15.5">
      <c r="B31" s="188" t="s">
        <v>993</v>
      </c>
      <c r="C31" s="42"/>
    </row>
    <row r="32" spans="1:3" ht="16" thickBot="1">
      <c r="B32" s="239" t="s">
        <v>989</v>
      </c>
      <c r="C32" s="106"/>
    </row>
    <row r="33" spans="2:5" ht="14.5" thickBot="1"/>
    <row r="34" spans="2:5" ht="16" thickBot="1">
      <c r="B34" s="282" t="s">
        <v>995</v>
      </c>
      <c r="C34" s="283"/>
    </row>
    <row r="35" spans="2:5" ht="16" thickBot="1">
      <c r="B35" s="282" t="s">
        <v>996</v>
      </c>
      <c r="C35" s="283"/>
    </row>
    <row r="36" spans="2:5" ht="15.5">
      <c r="B36" s="246" t="str">
        <f>+B22</f>
        <v>Name of the jurisdiction</v>
      </c>
      <c r="C36" s="247" t="str">
        <f>+C28</f>
        <v>Germany</v>
      </c>
    </row>
    <row r="37" spans="2:5" ht="15.5">
      <c r="B37" s="188" t="s">
        <v>997</v>
      </c>
      <c r="C37" s="41">
        <v>234554</v>
      </c>
    </row>
    <row r="38" spans="2:5" ht="15.5">
      <c r="B38" s="188" t="s">
        <v>998</v>
      </c>
      <c r="C38" s="41">
        <v>86875</v>
      </c>
      <c r="E38" s="260"/>
    </row>
    <row r="39" spans="2:5" ht="16" thickBot="1">
      <c r="B39" s="239" t="s">
        <v>999</v>
      </c>
      <c r="C39" s="99">
        <v>4543</v>
      </c>
      <c r="E39" s="261"/>
    </row>
    <row r="40" spans="2:5" ht="14.5" thickBot="1"/>
    <row r="41" spans="2:5" ht="16" thickBot="1">
      <c r="B41" s="282" t="s">
        <v>1000</v>
      </c>
      <c r="C41" s="283"/>
    </row>
    <row r="42" spans="2:5" ht="16" thickBot="1">
      <c r="B42" s="231" t="s">
        <v>1001</v>
      </c>
      <c r="C42" s="149"/>
    </row>
    <row r="43" spans="2:5" ht="14.5" thickBot="1"/>
    <row r="44" spans="2:5" ht="16" thickBot="1">
      <c r="B44" s="266" t="s">
        <v>1002</v>
      </c>
      <c r="C44" s="268"/>
    </row>
    <row r="45" spans="2:5" ht="15.5">
      <c r="B45" s="248" t="s">
        <v>1003</v>
      </c>
      <c r="C45" s="195" t="s">
        <v>650</v>
      </c>
    </row>
    <row r="46" spans="2:5" ht="16" thickBot="1">
      <c r="B46" s="249" t="s">
        <v>1004</v>
      </c>
      <c r="C46" s="99" t="s">
        <v>650</v>
      </c>
    </row>
    <row r="47" spans="2:5" ht="15.5">
      <c r="B47" s="287" t="s">
        <v>1008</v>
      </c>
      <c r="C47" s="288"/>
    </row>
    <row r="48" spans="2:5" ht="15.5">
      <c r="B48" s="250" t="s">
        <v>990</v>
      </c>
      <c r="C48" s="41"/>
    </row>
    <row r="49" spans="2:3" ht="15.5">
      <c r="B49" s="250" t="s">
        <v>1005</v>
      </c>
      <c r="C49" s="41"/>
    </row>
    <row r="50" spans="2:3" ht="15.5">
      <c r="B50" s="250" t="s">
        <v>1006</v>
      </c>
      <c r="C50" s="41"/>
    </row>
    <row r="51" spans="2:3" ht="16" thickBot="1">
      <c r="B51" s="251" t="s">
        <v>1010</v>
      </c>
      <c r="C51" s="99"/>
    </row>
    <row r="52" spans="2:3" ht="15.5">
      <c r="B52" s="287" t="s">
        <v>1007</v>
      </c>
      <c r="C52" s="288"/>
    </row>
    <row r="53" spans="2:3" ht="15.5">
      <c r="B53" s="250" t="s">
        <v>990</v>
      </c>
      <c r="C53" s="41"/>
    </row>
    <row r="54" spans="2:3" ht="15.5">
      <c r="B54" s="250" t="s">
        <v>1005</v>
      </c>
      <c r="C54" s="41"/>
    </row>
    <row r="55" spans="2:3" ht="15.5">
      <c r="B55" s="250" t="s">
        <v>1006</v>
      </c>
      <c r="C55" s="41"/>
    </row>
    <row r="56" spans="2:3" ht="16" thickBot="1">
      <c r="B56" s="251" t="s">
        <v>1010</v>
      </c>
      <c r="C56" s="99"/>
    </row>
    <row r="57" spans="2:3" ht="15.5">
      <c r="B57" s="287" t="s">
        <v>1009</v>
      </c>
      <c r="C57" s="288"/>
    </row>
    <row r="58" spans="2:3" ht="15.5">
      <c r="B58" s="250" t="s">
        <v>990</v>
      </c>
      <c r="C58" s="41"/>
    </row>
    <row r="59" spans="2:3" ht="15.5">
      <c r="B59" s="250" t="s">
        <v>1005</v>
      </c>
      <c r="C59" s="41"/>
    </row>
    <row r="60" spans="2:3" ht="15.5">
      <c r="B60" s="250" t="s">
        <v>1006</v>
      </c>
      <c r="C60" s="41"/>
    </row>
    <row r="61" spans="2:3" ht="16" thickBot="1">
      <c r="B61" s="251" t="s">
        <v>1010</v>
      </c>
      <c r="C61" s="99"/>
    </row>
    <row r="62" spans="2:3" ht="15.5">
      <c r="B62" s="287" t="s">
        <v>1011</v>
      </c>
      <c r="C62" s="288"/>
    </row>
    <row r="63" spans="2:3" ht="15.5">
      <c r="B63" s="250" t="s">
        <v>990</v>
      </c>
      <c r="C63" s="41"/>
    </row>
    <row r="64" spans="2:3" ht="15.5">
      <c r="B64" s="250" t="s">
        <v>1005</v>
      </c>
      <c r="C64" s="41"/>
    </row>
    <row r="65" spans="2:3" ht="15.5">
      <c r="B65" s="250" t="s">
        <v>1006</v>
      </c>
      <c r="C65" s="41"/>
    </row>
    <row r="66" spans="2:3" ht="16" thickBot="1">
      <c r="B66" s="239" t="s">
        <v>1010</v>
      </c>
      <c r="C66" s="99"/>
    </row>
    <row r="67" spans="2:3" ht="14.5" thickBot="1"/>
    <row r="68" spans="2:3" ht="16" thickBot="1">
      <c r="B68" s="266" t="s">
        <v>1012</v>
      </c>
      <c r="C68" s="268"/>
    </row>
    <row r="69" spans="2:3" ht="31">
      <c r="B69" s="238" t="s">
        <v>1013</v>
      </c>
      <c r="C69" s="195"/>
    </row>
    <row r="70" spans="2:3" ht="15.5">
      <c r="B70" s="188" t="s">
        <v>1014</v>
      </c>
      <c r="C70" s="41"/>
    </row>
    <row r="71" spans="2:3" ht="31">
      <c r="B71" s="188" t="s">
        <v>1015</v>
      </c>
      <c r="C71" s="41"/>
    </row>
    <row r="72" spans="2:3" ht="31">
      <c r="B72" s="188" t="s">
        <v>1016</v>
      </c>
      <c r="C72" s="41"/>
    </row>
    <row r="73" spans="2:3" ht="31" customHeight="1">
      <c r="B73" s="285" t="s">
        <v>1020</v>
      </c>
      <c r="C73" s="286"/>
    </row>
    <row r="74" spans="2:3" ht="15.5">
      <c r="B74" s="188" t="s">
        <v>1021</v>
      </c>
      <c r="C74" s="41"/>
    </row>
    <row r="75" spans="2:3" ht="15.5">
      <c r="B75" s="188" t="s">
        <v>1017</v>
      </c>
      <c r="C75" s="41"/>
    </row>
    <row r="76" spans="2:3" ht="31">
      <c r="B76" s="188" t="s">
        <v>1018</v>
      </c>
      <c r="C76" s="41"/>
    </row>
    <row r="77" spans="2:3" ht="31.5" thickBot="1">
      <c r="B77" s="239" t="s">
        <v>1019</v>
      </c>
      <c r="C77" s="99"/>
    </row>
    <row r="79" spans="2:3">
      <c r="B79" s="241" t="s">
        <v>102</v>
      </c>
    </row>
    <row r="80" spans="2:3">
      <c r="B80" s="241" t="s">
        <v>1086</v>
      </c>
    </row>
    <row r="81" spans="2:2">
      <c r="B81" s="241" t="s">
        <v>1087</v>
      </c>
    </row>
    <row r="82" spans="2:2">
      <c r="B82" s="241" t="s">
        <v>1094</v>
      </c>
    </row>
    <row r="83" spans="2:2">
      <c r="B83" s="241" t="s">
        <v>1088</v>
      </c>
    </row>
    <row r="84" spans="2:2">
      <c r="B84" s="241" t="s">
        <v>1089</v>
      </c>
    </row>
    <row r="85" spans="2:2">
      <c r="B85" s="241" t="s">
        <v>1090</v>
      </c>
    </row>
    <row r="86" spans="2:2">
      <c r="B86" s="241" t="s">
        <v>1091</v>
      </c>
    </row>
    <row r="87" spans="2:2">
      <c r="B87" s="241" t="s">
        <v>1092</v>
      </c>
    </row>
    <row r="88" spans="2:2">
      <c r="B88" s="241" t="s">
        <v>1093</v>
      </c>
    </row>
  </sheetData>
  <mergeCells count="19">
    <mergeCell ref="B73:C73"/>
    <mergeCell ref="B44:C44"/>
    <mergeCell ref="B47:C47"/>
    <mergeCell ref="B52:C52"/>
    <mergeCell ref="B57:C57"/>
    <mergeCell ref="B62:C62"/>
    <mergeCell ref="B68:C68"/>
    <mergeCell ref="B41:C41"/>
    <mergeCell ref="B2:C2"/>
    <mergeCell ref="B5:C5"/>
    <mergeCell ref="B12:C12"/>
    <mergeCell ref="B14:C14"/>
    <mergeCell ref="B15:C15"/>
    <mergeCell ref="B19:C19"/>
    <mergeCell ref="B20:C20"/>
    <mergeCell ref="B21:C21"/>
    <mergeCell ref="B27:C27"/>
    <mergeCell ref="B34:C34"/>
    <mergeCell ref="B35:C35"/>
  </mergeCells>
  <dataValidations count="2">
    <dataValidation type="list" allowBlank="1" showInputMessage="1" showErrorMessage="1" sqref="C17" xr:uid="{2C062575-E441-4082-83CE-C65CB047AAD8}">
      <formula1>$B$79:$B$88</formula1>
    </dataValidation>
    <dataValidation type="list" allowBlank="1" showInputMessage="1" showErrorMessage="1" sqref="C10 C45:C46" xr:uid="{F214E2C8-F4C5-42C9-BF6B-2A7CAEE193D2}">
      <formula1>$A$10:$A$12</formula1>
    </dataValidation>
  </dataValidation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54F80-AC5C-4963-8A2E-F83005746D80}">
  <dimension ref="A1:E88"/>
  <sheetViews>
    <sheetView zoomScale="55" zoomScaleNormal="55" workbookViewId="0">
      <selection activeCell="C40" sqref="C40"/>
    </sheetView>
  </sheetViews>
  <sheetFormatPr baseColWidth="10" defaultRowHeight="14"/>
  <cols>
    <col min="2" max="2" width="93.4140625" customWidth="1"/>
    <col min="3" max="3" width="72.6640625" customWidth="1"/>
  </cols>
  <sheetData>
    <row r="1" spans="1:3" ht="14.5" thickBot="1"/>
    <row r="2" spans="1:3" ht="25.5" customHeight="1" thickBot="1">
      <c r="B2" s="263" t="s">
        <v>972</v>
      </c>
      <c r="C2" s="264"/>
    </row>
    <row r="3" spans="1:3" ht="15.5">
      <c r="B3" s="226" t="s">
        <v>973</v>
      </c>
    </row>
    <row r="4" spans="1:3" ht="14.5" thickBot="1"/>
    <row r="5" spans="1:3" ht="25.5" customHeight="1" thickBot="1">
      <c r="B5" s="263" t="s">
        <v>974</v>
      </c>
      <c r="C5" s="265"/>
    </row>
    <row r="6" spans="1:3" ht="15.5">
      <c r="B6" s="238" t="s">
        <v>463</v>
      </c>
      <c r="C6" s="41" t="s">
        <v>1098</v>
      </c>
    </row>
    <row r="7" spans="1:3" ht="15.5">
      <c r="B7" s="188" t="s">
        <v>975</v>
      </c>
      <c r="C7" s="41" t="s">
        <v>102</v>
      </c>
    </row>
    <row r="8" spans="1:3" ht="15.5">
      <c r="B8" s="188" t="s">
        <v>976</v>
      </c>
      <c r="C8" s="41" t="s">
        <v>102</v>
      </c>
    </row>
    <row r="9" spans="1:3" ht="15.5">
      <c r="B9" s="188" t="s">
        <v>977</v>
      </c>
      <c r="C9" s="41" t="str">
        <f>+C6</f>
        <v>Russia</v>
      </c>
    </row>
    <row r="10" spans="1:3" ht="16" thickBot="1">
      <c r="A10" s="241" t="s">
        <v>648</v>
      </c>
      <c r="B10" s="239" t="s">
        <v>978</v>
      </c>
      <c r="C10" s="99" t="s">
        <v>650</v>
      </c>
    </row>
    <row r="11" spans="1:3" ht="14.5" thickBot="1">
      <c r="A11" s="241" t="s">
        <v>649</v>
      </c>
    </row>
    <row r="12" spans="1:3" ht="25.5" thickBot="1">
      <c r="A12" s="241" t="s">
        <v>650</v>
      </c>
      <c r="B12" s="263" t="s">
        <v>979</v>
      </c>
      <c r="C12" s="265"/>
    </row>
    <row r="13" spans="1:3" ht="14.5" thickBot="1"/>
    <row r="14" spans="1:3" ht="16" thickBot="1">
      <c r="B14" s="282" t="s">
        <v>980</v>
      </c>
      <c r="C14" s="283"/>
    </row>
    <row r="15" spans="1:3" ht="16" thickBot="1">
      <c r="B15" s="282" t="s">
        <v>981</v>
      </c>
      <c r="C15" s="283"/>
    </row>
    <row r="16" spans="1:3" ht="15.5">
      <c r="A16" s="241" t="s">
        <v>988</v>
      </c>
      <c r="B16" s="238" t="s">
        <v>985</v>
      </c>
      <c r="C16" s="244" t="str">
        <f>+C6</f>
        <v>Russia</v>
      </c>
    </row>
    <row r="17" spans="1:3" ht="16" thickBot="1">
      <c r="A17" s="241" t="s">
        <v>986</v>
      </c>
      <c r="B17" s="239" t="s">
        <v>982</v>
      </c>
      <c r="C17" s="99" t="s">
        <v>102</v>
      </c>
    </row>
    <row r="18" spans="1:3" ht="16" thickBot="1">
      <c r="A18" s="241" t="s">
        <v>987</v>
      </c>
      <c r="B18" s="226"/>
      <c r="C18" s="226"/>
    </row>
    <row r="19" spans="1:3" ht="16" thickBot="1">
      <c r="A19" s="241" t="s">
        <v>102</v>
      </c>
      <c r="B19" s="266" t="s">
        <v>983</v>
      </c>
      <c r="C19" s="267"/>
    </row>
    <row r="20" spans="1:3" ht="16" thickBot="1">
      <c r="B20" s="282" t="s">
        <v>984</v>
      </c>
      <c r="C20" s="284"/>
    </row>
    <row r="21" spans="1:3" ht="15.5">
      <c r="B21" s="279" t="s">
        <v>991</v>
      </c>
      <c r="C21" s="280"/>
    </row>
    <row r="22" spans="1:3" ht="15.5">
      <c r="B22" s="243" t="str">
        <f>+B16</f>
        <v>Name of the jurisdiction</v>
      </c>
      <c r="C22" s="245" t="str">
        <f t="shared" ref="C22" si="0">+C16</f>
        <v>Russia</v>
      </c>
    </row>
    <row r="23" spans="1:3" ht="15.5">
      <c r="B23" s="188" t="s">
        <v>990</v>
      </c>
      <c r="C23" s="42"/>
    </row>
    <row r="24" spans="1:3" ht="15.5">
      <c r="B24" s="188" t="s">
        <v>992</v>
      </c>
      <c r="C24" s="42"/>
    </row>
    <row r="25" spans="1:3" ht="15.5">
      <c r="B25" s="188" t="s">
        <v>993</v>
      </c>
      <c r="C25" s="42"/>
    </row>
    <row r="26" spans="1:3" ht="16" thickBot="1">
      <c r="B26" s="239" t="s">
        <v>989</v>
      </c>
      <c r="C26" s="106"/>
    </row>
    <row r="27" spans="1:3" ht="15.5">
      <c r="B27" s="279" t="s">
        <v>994</v>
      </c>
      <c r="C27" s="280"/>
    </row>
    <row r="28" spans="1:3" ht="15.5">
      <c r="B28" s="243" t="str">
        <f>+B22</f>
        <v>Name of the jurisdiction</v>
      </c>
      <c r="C28" s="245" t="str">
        <f t="shared" ref="C28" si="1">+C22</f>
        <v>Russia</v>
      </c>
    </row>
    <row r="29" spans="1:3" ht="15.5">
      <c r="B29" s="188" t="s">
        <v>990</v>
      </c>
      <c r="C29" s="42"/>
    </row>
    <row r="30" spans="1:3" ht="15.5">
      <c r="B30" s="188" t="s">
        <v>992</v>
      </c>
      <c r="C30" s="42"/>
    </row>
    <row r="31" spans="1:3" ht="15.5">
      <c r="B31" s="188" t="s">
        <v>993</v>
      </c>
      <c r="C31" s="42"/>
    </row>
    <row r="32" spans="1:3" ht="16" thickBot="1">
      <c r="B32" s="239" t="s">
        <v>989</v>
      </c>
      <c r="C32" s="106"/>
    </row>
    <row r="33" spans="2:5" ht="14.5" thickBot="1"/>
    <row r="34" spans="2:5" ht="16" thickBot="1">
      <c r="B34" s="282" t="s">
        <v>995</v>
      </c>
      <c r="C34" s="283"/>
    </row>
    <row r="35" spans="2:5" ht="16" thickBot="1">
      <c r="B35" s="282" t="s">
        <v>996</v>
      </c>
      <c r="C35" s="283"/>
    </row>
    <row r="36" spans="2:5" ht="15.5">
      <c r="B36" s="246" t="str">
        <f>+B22</f>
        <v>Name of the jurisdiction</v>
      </c>
      <c r="C36" s="247" t="str">
        <f>+C28</f>
        <v>Russia</v>
      </c>
    </row>
    <row r="37" spans="2:5" ht="15.5">
      <c r="B37" s="188" t="s">
        <v>997</v>
      </c>
      <c r="C37" s="41">
        <v>345443</v>
      </c>
    </row>
    <row r="38" spans="2:5" ht="15.5">
      <c r="B38" s="188" t="s">
        <v>998</v>
      </c>
      <c r="C38" s="41">
        <v>33433</v>
      </c>
      <c r="E38" s="260"/>
    </row>
    <row r="39" spans="2:5" ht="16" thickBot="1">
      <c r="B39" s="239" t="s">
        <v>999</v>
      </c>
      <c r="C39" s="99">
        <v>344455</v>
      </c>
      <c r="E39" s="261"/>
    </row>
    <row r="40" spans="2:5" ht="14.5" thickBot="1"/>
    <row r="41" spans="2:5" ht="16" thickBot="1">
      <c r="B41" s="282" t="s">
        <v>1000</v>
      </c>
      <c r="C41" s="283"/>
    </row>
    <row r="42" spans="2:5" ht="16" thickBot="1">
      <c r="B42" s="231" t="s">
        <v>1001</v>
      </c>
      <c r="C42" s="149"/>
    </row>
    <row r="43" spans="2:5" ht="14.5" thickBot="1"/>
    <row r="44" spans="2:5" ht="16" thickBot="1">
      <c r="B44" s="266" t="s">
        <v>1002</v>
      </c>
      <c r="C44" s="268"/>
    </row>
    <row r="45" spans="2:5" ht="15.5">
      <c r="B45" s="248" t="s">
        <v>1003</v>
      </c>
      <c r="C45" s="195" t="s">
        <v>650</v>
      </c>
    </row>
    <row r="46" spans="2:5" ht="16" thickBot="1">
      <c r="B46" s="249" t="s">
        <v>1004</v>
      </c>
      <c r="C46" s="99" t="s">
        <v>650</v>
      </c>
    </row>
    <row r="47" spans="2:5" ht="15.5">
      <c r="B47" s="287" t="s">
        <v>1008</v>
      </c>
      <c r="C47" s="288"/>
    </row>
    <row r="48" spans="2:5" ht="15.5">
      <c r="B48" s="250" t="s">
        <v>990</v>
      </c>
      <c r="C48" s="41"/>
    </row>
    <row r="49" spans="2:3" ht="15.5">
      <c r="B49" s="250" t="s">
        <v>1005</v>
      </c>
      <c r="C49" s="41"/>
    </row>
    <row r="50" spans="2:3" ht="15.5">
      <c r="B50" s="250" t="s">
        <v>1006</v>
      </c>
      <c r="C50" s="41"/>
    </row>
    <row r="51" spans="2:3" ht="16" thickBot="1">
      <c r="B51" s="251" t="s">
        <v>1010</v>
      </c>
      <c r="C51" s="99"/>
    </row>
    <row r="52" spans="2:3" ht="15.5">
      <c r="B52" s="287" t="s">
        <v>1007</v>
      </c>
      <c r="C52" s="288"/>
    </row>
    <row r="53" spans="2:3" ht="15.5">
      <c r="B53" s="250" t="s">
        <v>990</v>
      </c>
      <c r="C53" s="41"/>
    </row>
    <row r="54" spans="2:3" ht="15.5">
      <c r="B54" s="250" t="s">
        <v>1005</v>
      </c>
      <c r="C54" s="41"/>
    </row>
    <row r="55" spans="2:3" ht="15.5">
      <c r="B55" s="250" t="s">
        <v>1006</v>
      </c>
      <c r="C55" s="41"/>
    </row>
    <row r="56" spans="2:3" ht="16" thickBot="1">
      <c r="B56" s="251" t="s">
        <v>1010</v>
      </c>
      <c r="C56" s="99"/>
    </row>
    <row r="57" spans="2:3" ht="15.5">
      <c r="B57" s="287" t="s">
        <v>1009</v>
      </c>
      <c r="C57" s="288"/>
    </row>
    <row r="58" spans="2:3" ht="15.5">
      <c r="B58" s="250" t="s">
        <v>990</v>
      </c>
      <c r="C58" s="41"/>
    </row>
    <row r="59" spans="2:3" ht="15.5">
      <c r="B59" s="250" t="s">
        <v>1005</v>
      </c>
      <c r="C59" s="41"/>
    </row>
    <row r="60" spans="2:3" ht="15.5">
      <c r="B60" s="250" t="s">
        <v>1006</v>
      </c>
      <c r="C60" s="41"/>
    </row>
    <row r="61" spans="2:3" ht="16" thickBot="1">
      <c r="B61" s="251" t="s">
        <v>1010</v>
      </c>
      <c r="C61" s="99"/>
    </row>
    <row r="62" spans="2:3" ht="15.5">
      <c r="B62" s="287" t="s">
        <v>1011</v>
      </c>
      <c r="C62" s="288"/>
    </row>
    <row r="63" spans="2:3" ht="15.5">
      <c r="B63" s="250" t="s">
        <v>990</v>
      </c>
      <c r="C63" s="41"/>
    </row>
    <row r="64" spans="2:3" ht="15.5">
      <c r="B64" s="250" t="s">
        <v>1005</v>
      </c>
      <c r="C64" s="41"/>
    </row>
    <row r="65" spans="2:3" ht="15.5">
      <c r="B65" s="250" t="s">
        <v>1006</v>
      </c>
      <c r="C65" s="41"/>
    </row>
    <row r="66" spans="2:3" ht="16" thickBot="1">
      <c r="B66" s="239" t="s">
        <v>1010</v>
      </c>
      <c r="C66" s="99"/>
    </row>
    <row r="67" spans="2:3" ht="14.5" thickBot="1"/>
    <row r="68" spans="2:3" ht="16" thickBot="1">
      <c r="B68" s="266" t="s">
        <v>1012</v>
      </c>
      <c r="C68" s="268"/>
    </row>
    <row r="69" spans="2:3" ht="31">
      <c r="B69" s="238" t="s">
        <v>1013</v>
      </c>
      <c r="C69" s="195"/>
    </row>
    <row r="70" spans="2:3" ht="15.5">
      <c r="B70" s="188" t="s">
        <v>1014</v>
      </c>
      <c r="C70" s="41"/>
    </row>
    <row r="71" spans="2:3" ht="31">
      <c r="B71" s="188" t="s">
        <v>1015</v>
      </c>
      <c r="C71" s="41"/>
    </row>
    <row r="72" spans="2:3" ht="31">
      <c r="B72" s="188" t="s">
        <v>1016</v>
      </c>
      <c r="C72" s="41"/>
    </row>
    <row r="73" spans="2:3" ht="31" customHeight="1">
      <c r="B73" s="285" t="s">
        <v>1020</v>
      </c>
      <c r="C73" s="286"/>
    </row>
    <row r="74" spans="2:3" ht="15.5">
      <c r="B74" s="188" t="s">
        <v>1021</v>
      </c>
      <c r="C74" s="41"/>
    </row>
    <row r="75" spans="2:3" ht="15.5">
      <c r="B75" s="188" t="s">
        <v>1017</v>
      </c>
      <c r="C75" s="41"/>
    </row>
    <row r="76" spans="2:3" ht="31">
      <c r="B76" s="188" t="s">
        <v>1018</v>
      </c>
      <c r="C76" s="41"/>
    </row>
    <row r="77" spans="2:3" ht="31.5" thickBot="1">
      <c r="B77" s="239" t="s">
        <v>1019</v>
      </c>
      <c r="C77" s="99"/>
    </row>
    <row r="79" spans="2:3">
      <c r="B79" s="241" t="s">
        <v>102</v>
      </c>
    </row>
    <row r="80" spans="2:3">
      <c r="B80" s="241" t="s">
        <v>1086</v>
      </c>
    </row>
    <row r="81" spans="2:2">
      <c r="B81" s="241" t="s">
        <v>1087</v>
      </c>
    </row>
    <row r="82" spans="2:2">
      <c r="B82" s="241" t="s">
        <v>1094</v>
      </c>
    </row>
    <row r="83" spans="2:2">
      <c r="B83" s="241" t="s">
        <v>1088</v>
      </c>
    </row>
    <row r="84" spans="2:2">
      <c r="B84" s="241" t="s">
        <v>1089</v>
      </c>
    </row>
    <row r="85" spans="2:2">
      <c r="B85" s="241" t="s">
        <v>1090</v>
      </c>
    </row>
    <row r="86" spans="2:2">
      <c r="B86" s="241" t="s">
        <v>1091</v>
      </c>
    </row>
    <row r="87" spans="2:2">
      <c r="B87" s="241" t="s">
        <v>1092</v>
      </c>
    </row>
    <row r="88" spans="2:2">
      <c r="B88" s="241" t="s">
        <v>1093</v>
      </c>
    </row>
  </sheetData>
  <mergeCells count="19">
    <mergeCell ref="B73:C73"/>
    <mergeCell ref="B44:C44"/>
    <mergeCell ref="B47:C47"/>
    <mergeCell ref="B52:C52"/>
    <mergeCell ref="B57:C57"/>
    <mergeCell ref="B62:C62"/>
    <mergeCell ref="B68:C68"/>
    <mergeCell ref="B41:C41"/>
    <mergeCell ref="B2:C2"/>
    <mergeCell ref="B5:C5"/>
    <mergeCell ref="B12:C12"/>
    <mergeCell ref="B14:C14"/>
    <mergeCell ref="B15:C15"/>
    <mergeCell ref="B19:C19"/>
    <mergeCell ref="B20:C20"/>
    <mergeCell ref="B21:C21"/>
    <mergeCell ref="B27:C27"/>
    <mergeCell ref="B34:C34"/>
    <mergeCell ref="B35:C35"/>
  </mergeCells>
  <dataValidations count="2">
    <dataValidation type="list" allowBlank="1" showInputMessage="1" showErrorMessage="1" sqref="C10 C45:C46" xr:uid="{1EE7ADF4-4B4F-4161-8A4A-E68CB3213B36}">
      <formula1>$A$10:$A$12</formula1>
    </dataValidation>
    <dataValidation type="list" allowBlank="1" showInputMessage="1" showErrorMessage="1" sqref="C17" xr:uid="{CFBA1EC0-3EEB-40FE-95B9-EAC2E2018D4A}">
      <formula1>$B$79:$B$88</formula1>
    </dataValidation>
  </dataValidation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42C43-4DFD-4146-AC8E-FC40358F4D04}">
  <dimension ref="A1:E88"/>
  <sheetViews>
    <sheetView zoomScale="55" zoomScaleNormal="55" workbookViewId="0">
      <selection activeCell="C40" sqref="C40"/>
    </sheetView>
  </sheetViews>
  <sheetFormatPr baseColWidth="10" defaultRowHeight="14"/>
  <cols>
    <col min="2" max="2" width="93.4140625" customWidth="1"/>
    <col min="3" max="3" width="72.6640625" customWidth="1"/>
  </cols>
  <sheetData>
    <row r="1" spans="1:3" ht="14.5" thickBot="1"/>
    <row r="2" spans="1:3" ht="25.5" customHeight="1" thickBot="1">
      <c r="B2" s="263" t="s">
        <v>972</v>
      </c>
      <c r="C2" s="264"/>
    </row>
    <row r="3" spans="1:3" ht="15.5">
      <c r="B3" s="226" t="s">
        <v>973</v>
      </c>
    </row>
    <row r="4" spans="1:3" ht="14.5" thickBot="1"/>
    <row r="5" spans="1:3" ht="25.5" customHeight="1" thickBot="1">
      <c r="B5" s="263" t="s">
        <v>974</v>
      </c>
      <c r="C5" s="265"/>
    </row>
    <row r="6" spans="1:3" ht="15.5">
      <c r="B6" s="238" t="s">
        <v>463</v>
      </c>
      <c r="C6" s="41" t="s">
        <v>1107</v>
      </c>
    </row>
    <row r="7" spans="1:3" ht="15.5">
      <c r="B7" s="188" t="s">
        <v>975</v>
      </c>
      <c r="C7" s="41" t="s">
        <v>102</v>
      </c>
    </row>
    <row r="8" spans="1:3" ht="15.5">
      <c r="B8" s="188" t="s">
        <v>976</v>
      </c>
      <c r="C8" s="41" t="s">
        <v>102</v>
      </c>
    </row>
    <row r="9" spans="1:3" ht="15.5">
      <c r="B9" s="188" t="s">
        <v>977</v>
      </c>
      <c r="C9" s="41" t="str">
        <f>+C6</f>
        <v>Denmark</v>
      </c>
    </row>
    <row r="10" spans="1:3" ht="16" thickBot="1">
      <c r="A10" s="241" t="s">
        <v>648</v>
      </c>
      <c r="B10" s="239" t="s">
        <v>978</v>
      </c>
      <c r="C10" s="99" t="s">
        <v>650</v>
      </c>
    </row>
    <row r="11" spans="1:3" ht="14.5" thickBot="1">
      <c r="A11" s="241" t="s">
        <v>649</v>
      </c>
    </row>
    <row r="12" spans="1:3" ht="25.5" thickBot="1">
      <c r="A12" s="241" t="s">
        <v>650</v>
      </c>
      <c r="B12" s="263" t="s">
        <v>979</v>
      </c>
      <c r="C12" s="265"/>
    </row>
    <row r="13" spans="1:3" ht="14.5" thickBot="1"/>
    <row r="14" spans="1:3" ht="16" thickBot="1">
      <c r="B14" s="282" t="s">
        <v>980</v>
      </c>
      <c r="C14" s="283"/>
    </row>
    <row r="15" spans="1:3" ht="16" thickBot="1">
      <c r="B15" s="282" t="s">
        <v>981</v>
      </c>
      <c r="C15" s="283"/>
    </row>
    <row r="16" spans="1:3" ht="15.5">
      <c r="A16" s="241" t="s">
        <v>988</v>
      </c>
      <c r="B16" s="238" t="s">
        <v>985</v>
      </c>
      <c r="C16" s="244" t="str">
        <f>+C6</f>
        <v>Denmark</v>
      </c>
    </row>
    <row r="17" spans="1:3" ht="16" thickBot="1">
      <c r="A17" s="241" t="s">
        <v>986</v>
      </c>
      <c r="B17" s="239" t="s">
        <v>982</v>
      </c>
      <c r="C17" s="99" t="s">
        <v>1087</v>
      </c>
    </row>
    <row r="18" spans="1:3" ht="16" thickBot="1">
      <c r="A18" s="241" t="s">
        <v>987</v>
      </c>
      <c r="B18" s="226"/>
      <c r="C18" s="226"/>
    </row>
    <row r="19" spans="1:3" ht="16" thickBot="1">
      <c r="A19" s="241" t="s">
        <v>102</v>
      </c>
      <c r="B19" s="266" t="s">
        <v>983</v>
      </c>
      <c r="C19" s="267"/>
    </row>
    <row r="20" spans="1:3" ht="16" thickBot="1">
      <c r="B20" s="282" t="s">
        <v>984</v>
      </c>
      <c r="C20" s="284"/>
    </row>
    <row r="21" spans="1:3" ht="15.5">
      <c r="B21" s="279" t="s">
        <v>991</v>
      </c>
      <c r="C21" s="280"/>
    </row>
    <row r="22" spans="1:3" ht="15.5">
      <c r="B22" s="243" t="str">
        <f>+B16</f>
        <v>Name of the jurisdiction</v>
      </c>
      <c r="C22" s="245" t="str">
        <f t="shared" ref="C22" si="0">+C16</f>
        <v>Denmark</v>
      </c>
    </row>
    <row r="23" spans="1:3" ht="15.5">
      <c r="B23" s="188" t="s">
        <v>990</v>
      </c>
      <c r="C23" s="42"/>
    </row>
    <row r="24" spans="1:3" ht="15.5">
      <c r="B24" s="188" t="s">
        <v>992</v>
      </c>
      <c r="C24" s="42"/>
    </row>
    <row r="25" spans="1:3" ht="15.5">
      <c r="B25" s="188" t="s">
        <v>993</v>
      </c>
      <c r="C25" s="42"/>
    </row>
    <row r="26" spans="1:3" ht="16" thickBot="1">
      <c r="B26" s="239" t="s">
        <v>989</v>
      </c>
      <c r="C26" s="106"/>
    </row>
    <row r="27" spans="1:3" ht="15.5">
      <c r="B27" s="279" t="s">
        <v>994</v>
      </c>
      <c r="C27" s="280"/>
    </row>
    <row r="28" spans="1:3" ht="15.5">
      <c r="B28" s="243" t="str">
        <f>+B22</f>
        <v>Name of the jurisdiction</v>
      </c>
      <c r="C28" s="245" t="str">
        <f t="shared" ref="C28" si="1">+C22</f>
        <v>Denmark</v>
      </c>
    </row>
    <row r="29" spans="1:3" ht="15.5">
      <c r="B29" s="188" t="s">
        <v>990</v>
      </c>
      <c r="C29" s="42"/>
    </row>
    <row r="30" spans="1:3" ht="15.5">
      <c r="B30" s="188" t="s">
        <v>992</v>
      </c>
      <c r="C30" s="42"/>
    </row>
    <row r="31" spans="1:3" ht="15.5">
      <c r="B31" s="188" t="s">
        <v>993</v>
      </c>
      <c r="C31" s="42"/>
    </row>
    <row r="32" spans="1:3" ht="16" thickBot="1">
      <c r="B32" s="239" t="s">
        <v>989</v>
      </c>
      <c r="C32" s="106"/>
    </row>
    <row r="33" spans="2:5" ht="14.5" thickBot="1"/>
    <row r="34" spans="2:5" ht="16" thickBot="1">
      <c r="B34" s="282" t="s">
        <v>995</v>
      </c>
      <c r="C34" s="283"/>
    </row>
    <row r="35" spans="2:5" ht="16" thickBot="1">
      <c r="B35" s="282" t="s">
        <v>996</v>
      </c>
      <c r="C35" s="283"/>
    </row>
    <row r="36" spans="2:5" ht="15.5">
      <c r="B36" s="246" t="str">
        <f>+B22</f>
        <v>Name of the jurisdiction</v>
      </c>
      <c r="C36" s="247" t="str">
        <f>+C28</f>
        <v>Denmark</v>
      </c>
    </row>
    <row r="37" spans="2:5" ht="15.5">
      <c r="B37" s="188" t="s">
        <v>997</v>
      </c>
      <c r="C37" s="41">
        <v>876456</v>
      </c>
    </row>
    <row r="38" spans="2:5" ht="15.5">
      <c r="B38" s="188" t="s">
        <v>998</v>
      </c>
      <c r="C38" s="41">
        <v>4576</v>
      </c>
      <c r="E38" s="260"/>
    </row>
    <row r="39" spans="2:5" ht="16" thickBot="1">
      <c r="B39" s="239" t="s">
        <v>999</v>
      </c>
      <c r="C39" s="99">
        <v>123876</v>
      </c>
      <c r="E39" s="261"/>
    </row>
    <row r="40" spans="2:5" ht="14.5" thickBot="1"/>
    <row r="41" spans="2:5" ht="16" thickBot="1">
      <c r="B41" s="282" t="s">
        <v>1000</v>
      </c>
      <c r="C41" s="283"/>
    </row>
    <row r="42" spans="2:5" ht="16" thickBot="1">
      <c r="B42" s="231" t="s">
        <v>1001</v>
      </c>
      <c r="C42" s="149"/>
    </row>
    <row r="43" spans="2:5" ht="14.5" thickBot="1"/>
    <row r="44" spans="2:5" ht="16" thickBot="1">
      <c r="B44" s="266" t="s">
        <v>1002</v>
      </c>
      <c r="C44" s="268"/>
    </row>
    <row r="45" spans="2:5" ht="15.5">
      <c r="B45" s="248" t="s">
        <v>1003</v>
      </c>
      <c r="C45" s="195" t="s">
        <v>650</v>
      </c>
    </row>
    <row r="46" spans="2:5" ht="16" thickBot="1">
      <c r="B46" s="249" t="s">
        <v>1004</v>
      </c>
      <c r="C46" s="99" t="s">
        <v>650</v>
      </c>
    </row>
    <row r="47" spans="2:5" ht="15.5">
      <c r="B47" s="287" t="s">
        <v>1008</v>
      </c>
      <c r="C47" s="288"/>
    </row>
    <row r="48" spans="2:5" ht="15.5">
      <c r="B48" s="250" t="s">
        <v>990</v>
      </c>
      <c r="C48" s="41"/>
    </row>
    <row r="49" spans="2:3" ht="15.5">
      <c r="B49" s="250" t="s">
        <v>1005</v>
      </c>
      <c r="C49" s="41"/>
    </row>
    <row r="50" spans="2:3" ht="15.5">
      <c r="B50" s="250" t="s">
        <v>1006</v>
      </c>
      <c r="C50" s="41"/>
    </row>
    <row r="51" spans="2:3" ht="16" thickBot="1">
      <c r="B51" s="251" t="s">
        <v>1010</v>
      </c>
      <c r="C51" s="99"/>
    </row>
    <row r="52" spans="2:3" ht="15.5">
      <c r="B52" s="287" t="s">
        <v>1007</v>
      </c>
      <c r="C52" s="288"/>
    </row>
    <row r="53" spans="2:3" ht="15.5">
      <c r="B53" s="250" t="s">
        <v>990</v>
      </c>
      <c r="C53" s="41"/>
    </row>
    <row r="54" spans="2:3" ht="15.5">
      <c r="B54" s="250" t="s">
        <v>1005</v>
      </c>
      <c r="C54" s="41"/>
    </row>
    <row r="55" spans="2:3" ht="15.5">
      <c r="B55" s="250" t="s">
        <v>1006</v>
      </c>
      <c r="C55" s="41"/>
    </row>
    <row r="56" spans="2:3" ht="16" thickBot="1">
      <c r="B56" s="251" t="s">
        <v>1010</v>
      </c>
      <c r="C56" s="99"/>
    </row>
    <row r="57" spans="2:3" ht="15.5">
      <c r="B57" s="287" t="s">
        <v>1009</v>
      </c>
      <c r="C57" s="288"/>
    </row>
    <row r="58" spans="2:3" ht="15.5">
      <c r="B58" s="250" t="s">
        <v>990</v>
      </c>
      <c r="C58" s="41"/>
    </row>
    <row r="59" spans="2:3" ht="15.5">
      <c r="B59" s="250" t="s">
        <v>1005</v>
      </c>
      <c r="C59" s="41"/>
    </row>
    <row r="60" spans="2:3" ht="15.5">
      <c r="B60" s="250" t="s">
        <v>1006</v>
      </c>
      <c r="C60" s="41"/>
    </row>
    <row r="61" spans="2:3" ht="16" thickBot="1">
      <c r="B61" s="251" t="s">
        <v>1010</v>
      </c>
      <c r="C61" s="99"/>
    </row>
    <row r="62" spans="2:3" ht="15.5">
      <c r="B62" s="287" t="s">
        <v>1011</v>
      </c>
      <c r="C62" s="288"/>
    </row>
    <row r="63" spans="2:3" ht="15.5">
      <c r="B63" s="250" t="s">
        <v>990</v>
      </c>
      <c r="C63" s="41"/>
    </row>
    <row r="64" spans="2:3" ht="15.5">
      <c r="B64" s="250" t="s">
        <v>1005</v>
      </c>
      <c r="C64" s="41"/>
    </row>
    <row r="65" spans="2:3" ht="15.5">
      <c r="B65" s="250" t="s">
        <v>1006</v>
      </c>
      <c r="C65" s="41"/>
    </row>
    <row r="66" spans="2:3" ht="16" thickBot="1">
      <c r="B66" s="239" t="s">
        <v>1010</v>
      </c>
      <c r="C66" s="99"/>
    </row>
    <row r="67" spans="2:3" ht="14.5" thickBot="1"/>
    <row r="68" spans="2:3" ht="16" thickBot="1">
      <c r="B68" s="266" t="s">
        <v>1012</v>
      </c>
      <c r="C68" s="268"/>
    </row>
    <row r="69" spans="2:3" ht="31">
      <c r="B69" s="238" t="s">
        <v>1013</v>
      </c>
      <c r="C69" s="195"/>
    </row>
    <row r="70" spans="2:3" ht="15.5">
      <c r="B70" s="188" t="s">
        <v>1014</v>
      </c>
      <c r="C70" s="41"/>
    </row>
    <row r="71" spans="2:3" ht="31">
      <c r="B71" s="188" t="s">
        <v>1015</v>
      </c>
      <c r="C71" s="41"/>
    </row>
    <row r="72" spans="2:3" ht="31">
      <c r="B72" s="188" t="s">
        <v>1016</v>
      </c>
      <c r="C72" s="41"/>
    </row>
    <row r="73" spans="2:3" ht="31" customHeight="1">
      <c r="B73" s="285" t="s">
        <v>1020</v>
      </c>
      <c r="C73" s="286"/>
    </row>
    <row r="74" spans="2:3" ht="15.5">
      <c r="B74" s="188" t="s">
        <v>1021</v>
      </c>
      <c r="C74" s="41"/>
    </row>
    <row r="75" spans="2:3" ht="15.5">
      <c r="B75" s="188" t="s">
        <v>1017</v>
      </c>
      <c r="C75" s="41"/>
    </row>
    <row r="76" spans="2:3" ht="31">
      <c r="B76" s="188" t="s">
        <v>1018</v>
      </c>
      <c r="C76" s="41"/>
    </row>
    <row r="77" spans="2:3" ht="31.5" thickBot="1">
      <c r="B77" s="239" t="s">
        <v>1019</v>
      </c>
      <c r="C77" s="99"/>
    </row>
    <row r="79" spans="2:3">
      <c r="B79" s="241" t="s">
        <v>102</v>
      </c>
    </row>
    <row r="80" spans="2:3">
      <c r="B80" s="241" t="s">
        <v>1086</v>
      </c>
    </row>
    <row r="81" spans="2:2">
      <c r="B81" s="241" t="s">
        <v>1087</v>
      </c>
    </row>
    <row r="82" spans="2:2">
      <c r="B82" s="241" t="s">
        <v>1094</v>
      </c>
    </row>
    <row r="83" spans="2:2">
      <c r="B83" s="241" t="s">
        <v>1088</v>
      </c>
    </row>
    <row r="84" spans="2:2">
      <c r="B84" s="241" t="s">
        <v>1089</v>
      </c>
    </row>
    <row r="85" spans="2:2">
      <c r="B85" s="241" t="s">
        <v>1090</v>
      </c>
    </row>
    <row r="86" spans="2:2">
      <c r="B86" s="241" t="s">
        <v>1091</v>
      </c>
    </row>
    <row r="87" spans="2:2">
      <c r="B87" s="241" t="s">
        <v>1092</v>
      </c>
    </row>
    <row r="88" spans="2:2">
      <c r="B88" s="241" t="s">
        <v>1093</v>
      </c>
    </row>
  </sheetData>
  <mergeCells count="19">
    <mergeCell ref="B73:C73"/>
    <mergeCell ref="B44:C44"/>
    <mergeCell ref="B47:C47"/>
    <mergeCell ref="B52:C52"/>
    <mergeCell ref="B57:C57"/>
    <mergeCell ref="B62:C62"/>
    <mergeCell ref="B68:C68"/>
    <mergeCell ref="B41:C41"/>
    <mergeCell ref="B2:C2"/>
    <mergeCell ref="B5:C5"/>
    <mergeCell ref="B12:C12"/>
    <mergeCell ref="B14:C14"/>
    <mergeCell ref="B15:C15"/>
    <mergeCell ref="B19:C19"/>
    <mergeCell ref="B20:C20"/>
    <mergeCell ref="B21:C21"/>
    <mergeCell ref="B27:C27"/>
    <mergeCell ref="B34:C34"/>
    <mergeCell ref="B35:C35"/>
  </mergeCells>
  <dataValidations count="2">
    <dataValidation type="list" allowBlank="1" showInputMessage="1" showErrorMessage="1" sqref="C17" xr:uid="{902B6348-4AA3-41BC-9D37-72DA82BA09DB}">
      <formula1>$B$79:$B$88</formula1>
    </dataValidation>
    <dataValidation type="list" allowBlank="1" showInputMessage="1" showErrorMessage="1" sqref="C10 C45:C46" xr:uid="{C389620A-D999-4AB2-8D84-D4B2BF9E88A9}">
      <formula1>$A$10:$A$12</formula1>
    </dataValidation>
  </dataValidation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3E015-6128-4CF7-98B7-137B1041EAA6}">
  <dimension ref="A1:E88"/>
  <sheetViews>
    <sheetView zoomScale="55" zoomScaleNormal="55" workbookViewId="0">
      <selection activeCell="C40" sqref="C40"/>
    </sheetView>
  </sheetViews>
  <sheetFormatPr baseColWidth="10" defaultRowHeight="14"/>
  <cols>
    <col min="2" max="2" width="93.4140625" customWidth="1"/>
    <col min="3" max="3" width="72.6640625" customWidth="1"/>
  </cols>
  <sheetData>
    <row r="1" spans="1:3" ht="14.5" thickBot="1"/>
    <row r="2" spans="1:3" ht="25.5" customHeight="1" thickBot="1">
      <c r="B2" s="263" t="s">
        <v>972</v>
      </c>
      <c r="C2" s="264"/>
    </row>
    <row r="3" spans="1:3" ht="15.5">
      <c r="B3" s="226" t="s">
        <v>973</v>
      </c>
    </row>
    <row r="4" spans="1:3" ht="14.5" thickBot="1"/>
    <row r="5" spans="1:3" ht="25.5" customHeight="1" thickBot="1">
      <c r="B5" s="263" t="s">
        <v>974</v>
      </c>
      <c r="C5" s="265"/>
    </row>
    <row r="6" spans="1:3" ht="15.5">
      <c r="B6" s="238" t="s">
        <v>463</v>
      </c>
      <c r="C6" s="41" t="s">
        <v>1108</v>
      </c>
    </row>
    <row r="7" spans="1:3" ht="15.5">
      <c r="B7" s="188" t="s">
        <v>975</v>
      </c>
      <c r="C7" s="41" t="s">
        <v>102</v>
      </c>
    </row>
    <row r="8" spans="1:3" ht="15.5">
      <c r="B8" s="188" t="s">
        <v>976</v>
      </c>
      <c r="C8" s="41" t="s">
        <v>102</v>
      </c>
    </row>
    <row r="9" spans="1:3" ht="15.5">
      <c r="B9" s="188" t="s">
        <v>977</v>
      </c>
      <c r="C9" s="41" t="str">
        <f>+C6</f>
        <v>Sweden</v>
      </c>
    </row>
    <row r="10" spans="1:3" ht="16" thickBot="1">
      <c r="A10" s="241" t="s">
        <v>648</v>
      </c>
      <c r="B10" s="239" t="s">
        <v>978</v>
      </c>
      <c r="C10" s="99" t="s">
        <v>650</v>
      </c>
    </row>
    <row r="11" spans="1:3" ht="14.5" thickBot="1">
      <c r="A11" s="241" t="s">
        <v>649</v>
      </c>
    </row>
    <row r="12" spans="1:3" ht="25.5" thickBot="1">
      <c r="A12" s="241" t="s">
        <v>650</v>
      </c>
      <c r="B12" s="263" t="s">
        <v>979</v>
      </c>
      <c r="C12" s="265"/>
    </row>
    <row r="13" spans="1:3" ht="14.5" thickBot="1"/>
    <row r="14" spans="1:3" ht="16" thickBot="1">
      <c r="B14" s="282" t="s">
        <v>980</v>
      </c>
      <c r="C14" s="283"/>
    </row>
    <row r="15" spans="1:3" ht="16" thickBot="1">
      <c r="B15" s="282" t="s">
        <v>981</v>
      </c>
      <c r="C15" s="283"/>
    </row>
    <row r="16" spans="1:3" ht="15.5">
      <c r="A16" s="241" t="s">
        <v>988</v>
      </c>
      <c r="B16" s="238" t="s">
        <v>985</v>
      </c>
      <c r="C16" s="244" t="str">
        <f>+C6</f>
        <v>Sweden</v>
      </c>
    </row>
    <row r="17" spans="1:3" ht="16" thickBot="1">
      <c r="A17" s="241" t="s">
        <v>986</v>
      </c>
      <c r="B17" s="239" t="s">
        <v>982</v>
      </c>
      <c r="C17" s="99" t="s">
        <v>1087</v>
      </c>
    </row>
    <row r="18" spans="1:3" ht="16" thickBot="1">
      <c r="A18" s="241" t="s">
        <v>987</v>
      </c>
      <c r="B18" s="226"/>
      <c r="C18" s="226"/>
    </row>
    <row r="19" spans="1:3" ht="16" thickBot="1">
      <c r="A19" s="241" t="s">
        <v>102</v>
      </c>
      <c r="B19" s="266" t="s">
        <v>983</v>
      </c>
      <c r="C19" s="267"/>
    </row>
    <row r="20" spans="1:3" ht="16" thickBot="1">
      <c r="B20" s="282" t="s">
        <v>984</v>
      </c>
      <c r="C20" s="284"/>
    </row>
    <row r="21" spans="1:3" ht="15.5">
      <c r="B21" s="279" t="s">
        <v>991</v>
      </c>
      <c r="C21" s="280"/>
    </row>
    <row r="22" spans="1:3" ht="15.5">
      <c r="B22" s="243" t="str">
        <f>+B16</f>
        <v>Name of the jurisdiction</v>
      </c>
      <c r="C22" s="245" t="str">
        <f t="shared" ref="C22" si="0">+C16</f>
        <v>Sweden</v>
      </c>
    </row>
    <row r="23" spans="1:3" ht="15.5">
      <c r="B23" s="188" t="s">
        <v>990</v>
      </c>
      <c r="C23" s="42"/>
    </row>
    <row r="24" spans="1:3" ht="15.5">
      <c r="B24" s="188" t="s">
        <v>992</v>
      </c>
      <c r="C24" s="42"/>
    </row>
    <row r="25" spans="1:3" ht="15.5">
      <c r="B25" s="188" t="s">
        <v>993</v>
      </c>
      <c r="C25" s="42"/>
    </row>
    <row r="26" spans="1:3" ht="16" thickBot="1">
      <c r="B26" s="239" t="s">
        <v>989</v>
      </c>
      <c r="C26" s="106"/>
    </row>
    <row r="27" spans="1:3" ht="15.5">
      <c r="B27" s="279" t="s">
        <v>994</v>
      </c>
      <c r="C27" s="280"/>
    </row>
    <row r="28" spans="1:3" ht="15.5">
      <c r="B28" s="243" t="str">
        <f>+B22</f>
        <v>Name of the jurisdiction</v>
      </c>
      <c r="C28" s="245" t="str">
        <f t="shared" ref="C28" si="1">+C22</f>
        <v>Sweden</v>
      </c>
    </row>
    <row r="29" spans="1:3" ht="15.5">
      <c r="B29" s="188" t="s">
        <v>990</v>
      </c>
      <c r="C29" s="42"/>
    </row>
    <row r="30" spans="1:3" ht="15.5">
      <c r="B30" s="188" t="s">
        <v>992</v>
      </c>
      <c r="C30" s="42"/>
    </row>
    <row r="31" spans="1:3" ht="15.5">
      <c r="B31" s="188" t="s">
        <v>993</v>
      </c>
      <c r="C31" s="42"/>
    </row>
    <row r="32" spans="1:3" ht="16" thickBot="1">
      <c r="B32" s="239" t="s">
        <v>989</v>
      </c>
      <c r="C32" s="106"/>
    </row>
    <row r="33" spans="2:5" ht="14.5" thickBot="1"/>
    <row r="34" spans="2:5" ht="16" thickBot="1">
      <c r="B34" s="282" t="s">
        <v>995</v>
      </c>
      <c r="C34" s="283"/>
    </row>
    <row r="35" spans="2:5" ht="16" thickBot="1">
      <c r="B35" s="282" t="s">
        <v>996</v>
      </c>
      <c r="C35" s="283"/>
    </row>
    <row r="36" spans="2:5" ht="15.5">
      <c r="B36" s="246" t="str">
        <f>+B22</f>
        <v>Name of the jurisdiction</v>
      </c>
      <c r="C36" s="247" t="str">
        <f>+C28</f>
        <v>Sweden</v>
      </c>
    </row>
    <row r="37" spans="2:5" ht="15.5">
      <c r="B37" s="188" t="s">
        <v>997</v>
      </c>
      <c r="C37" s="41">
        <v>435876</v>
      </c>
    </row>
    <row r="38" spans="2:5" ht="15.5">
      <c r="B38" s="188" t="s">
        <v>998</v>
      </c>
      <c r="C38" s="41">
        <v>45789876</v>
      </c>
      <c r="E38" s="260"/>
    </row>
    <row r="39" spans="2:5" ht="16" thickBot="1">
      <c r="B39" s="239" t="s">
        <v>999</v>
      </c>
      <c r="C39" s="99">
        <v>345687</v>
      </c>
      <c r="E39" s="261"/>
    </row>
    <row r="40" spans="2:5" ht="14.5" thickBot="1"/>
    <row r="41" spans="2:5" ht="16" thickBot="1">
      <c r="B41" s="282" t="s">
        <v>1000</v>
      </c>
      <c r="C41" s="283"/>
    </row>
    <row r="42" spans="2:5" ht="16" thickBot="1">
      <c r="B42" s="231" t="s">
        <v>1001</v>
      </c>
      <c r="C42" s="149"/>
    </row>
    <row r="43" spans="2:5" ht="14.5" thickBot="1"/>
    <row r="44" spans="2:5" ht="16" thickBot="1">
      <c r="B44" s="266" t="s">
        <v>1002</v>
      </c>
      <c r="C44" s="268"/>
    </row>
    <row r="45" spans="2:5" ht="15.5">
      <c r="B45" s="248" t="s">
        <v>1003</v>
      </c>
      <c r="C45" s="195" t="s">
        <v>650</v>
      </c>
    </row>
    <row r="46" spans="2:5" ht="16" thickBot="1">
      <c r="B46" s="249" t="s">
        <v>1004</v>
      </c>
      <c r="C46" s="99" t="s">
        <v>650</v>
      </c>
    </row>
    <row r="47" spans="2:5" ht="15.5">
      <c r="B47" s="287" t="s">
        <v>1008</v>
      </c>
      <c r="C47" s="288"/>
    </row>
    <row r="48" spans="2:5" ht="15.5">
      <c r="B48" s="250" t="s">
        <v>990</v>
      </c>
      <c r="C48" s="41"/>
    </row>
    <row r="49" spans="2:3" ht="15.5">
      <c r="B49" s="250" t="s">
        <v>1005</v>
      </c>
      <c r="C49" s="41"/>
    </row>
    <row r="50" spans="2:3" ht="15.5">
      <c r="B50" s="250" t="s">
        <v>1006</v>
      </c>
      <c r="C50" s="41"/>
    </row>
    <row r="51" spans="2:3" ht="16" thickBot="1">
      <c r="B51" s="251" t="s">
        <v>1010</v>
      </c>
      <c r="C51" s="99"/>
    </row>
    <row r="52" spans="2:3" ht="15.5">
      <c r="B52" s="287" t="s">
        <v>1007</v>
      </c>
      <c r="C52" s="288"/>
    </row>
    <row r="53" spans="2:3" ht="15.5">
      <c r="B53" s="250" t="s">
        <v>990</v>
      </c>
      <c r="C53" s="41"/>
    </row>
    <row r="54" spans="2:3" ht="15.5">
      <c r="B54" s="250" t="s">
        <v>1005</v>
      </c>
      <c r="C54" s="41"/>
    </row>
    <row r="55" spans="2:3" ht="15.5">
      <c r="B55" s="250" t="s">
        <v>1006</v>
      </c>
      <c r="C55" s="41"/>
    </row>
    <row r="56" spans="2:3" ht="16" thickBot="1">
      <c r="B56" s="251" t="s">
        <v>1010</v>
      </c>
      <c r="C56" s="99"/>
    </row>
    <row r="57" spans="2:3" ht="15.5">
      <c r="B57" s="287" t="s">
        <v>1009</v>
      </c>
      <c r="C57" s="288"/>
    </row>
    <row r="58" spans="2:3" ht="15.5">
      <c r="B58" s="250" t="s">
        <v>990</v>
      </c>
      <c r="C58" s="41"/>
    </row>
    <row r="59" spans="2:3" ht="15.5">
      <c r="B59" s="250" t="s">
        <v>1005</v>
      </c>
      <c r="C59" s="41"/>
    </row>
    <row r="60" spans="2:3" ht="15.5">
      <c r="B60" s="250" t="s">
        <v>1006</v>
      </c>
      <c r="C60" s="41"/>
    </row>
    <row r="61" spans="2:3" ht="16" thickBot="1">
      <c r="B61" s="251" t="s">
        <v>1010</v>
      </c>
      <c r="C61" s="99"/>
    </row>
    <row r="62" spans="2:3" ht="15.5">
      <c r="B62" s="287" t="s">
        <v>1011</v>
      </c>
      <c r="C62" s="288"/>
    </row>
    <row r="63" spans="2:3" ht="15.5">
      <c r="B63" s="250" t="s">
        <v>990</v>
      </c>
      <c r="C63" s="41"/>
    </row>
    <row r="64" spans="2:3" ht="15.5">
      <c r="B64" s="250" t="s">
        <v>1005</v>
      </c>
      <c r="C64" s="41"/>
    </row>
    <row r="65" spans="2:3" ht="15.5">
      <c r="B65" s="250" t="s">
        <v>1006</v>
      </c>
      <c r="C65" s="41"/>
    </row>
    <row r="66" spans="2:3" ht="16" thickBot="1">
      <c r="B66" s="239" t="s">
        <v>1010</v>
      </c>
      <c r="C66" s="99"/>
    </row>
    <row r="67" spans="2:3" ht="14.5" thickBot="1"/>
    <row r="68" spans="2:3" ht="16" thickBot="1">
      <c r="B68" s="266" t="s">
        <v>1012</v>
      </c>
      <c r="C68" s="268"/>
    </row>
    <row r="69" spans="2:3" ht="31">
      <c r="B69" s="238" t="s">
        <v>1013</v>
      </c>
      <c r="C69" s="195"/>
    </row>
    <row r="70" spans="2:3" ht="15.5">
      <c r="B70" s="188" t="s">
        <v>1014</v>
      </c>
      <c r="C70" s="41"/>
    </row>
    <row r="71" spans="2:3" ht="31">
      <c r="B71" s="188" t="s">
        <v>1015</v>
      </c>
      <c r="C71" s="41"/>
    </row>
    <row r="72" spans="2:3" ht="31">
      <c r="B72" s="188" t="s">
        <v>1016</v>
      </c>
      <c r="C72" s="41"/>
    </row>
    <row r="73" spans="2:3" ht="31" customHeight="1">
      <c r="B73" s="285" t="s">
        <v>1020</v>
      </c>
      <c r="C73" s="286"/>
    </row>
    <row r="74" spans="2:3" ht="15.5">
      <c r="B74" s="188" t="s">
        <v>1021</v>
      </c>
      <c r="C74" s="41"/>
    </row>
    <row r="75" spans="2:3" ht="15.5">
      <c r="B75" s="188" t="s">
        <v>1017</v>
      </c>
      <c r="C75" s="41"/>
    </row>
    <row r="76" spans="2:3" ht="31">
      <c r="B76" s="188" t="s">
        <v>1018</v>
      </c>
      <c r="C76" s="41"/>
    </row>
    <row r="77" spans="2:3" ht="31.5" thickBot="1">
      <c r="B77" s="239" t="s">
        <v>1019</v>
      </c>
      <c r="C77" s="99"/>
    </row>
    <row r="79" spans="2:3">
      <c r="B79" s="241" t="s">
        <v>102</v>
      </c>
    </row>
    <row r="80" spans="2:3">
      <c r="B80" s="241" t="s">
        <v>1086</v>
      </c>
    </row>
    <row r="81" spans="2:2">
      <c r="B81" s="241" t="s">
        <v>1087</v>
      </c>
    </row>
    <row r="82" spans="2:2">
      <c r="B82" s="241" t="s">
        <v>1094</v>
      </c>
    </row>
    <row r="83" spans="2:2">
      <c r="B83" s="241" t="s">
        <v>1088</v>
      </c>
    </row>
    <row r="84" spans="2:2">
      <c r="B84" s="241" t="s">
        <v>1089</v>
      </c>
    </row>
    <row r="85" spans="2:2">
      <c r="B85" s="241" t="s">
        <v>1090</v>
      </c>
    </row>
    <row r="86" spans="2:2">
      <c r="B86" s="241" t="s">
        <v>1091</v>
      </c>
    </row>
    <row r="87" spans="2:2">
      <c r="B87" s="241" t="s">
        <v>1092</v>
      </c>
    </row>
    <row r="88" spans="2:2">
      <c r="B88" s="241" t="s">
        <v>1093</v>
      </c>
    </row>
  </sheetData>
  <mergeCells count="19">
    <mergeCell ref="B73:C73"/>
    <mergeCell ref="B44:C44"/>
    <mergeCell ref="B47:C47"/>
    <mergeCell ref="B52:C52"/>
    <mergeCell ref="B57:C57"/>
    <mergeCell ref="B62:C62"/>
    <mergeCell ref="B68:C68"/>
    <mergeCell ref="B41:C41"/>
    <mergeCell ref="B2:C2"/>
    <mergeCell ref="B5:C5"/>
    <mergeCell ref="B12:C12"/>
    <mergeCell ref="B14:C14"/>
    <mergeCell ref="B15:C15"/>
    <mergeCell ref="B19:C19"/>
    <mergeCell ref="B20:C20"/>
    <mergeCell ref="B21:C21"/>
    <mergeCell ref="B27:C27"/>
    <mergeCell ref="B34:C34"/>
    <mergeCell ref="B35:C35"/>
  </mergeCells>
  <dataValidations count="2">
    <dataValidation type="list" allowBlank="1" showInputMessage="1" showErrorMessage="1" sqref="C10 C45:C46" xr:uid="{E4178518-4473-4CC0-BCDB-7BB3C3D17BEF}">
      <formula1>$A$10:$A$12</formula1>
    </dataValidation>
    <dataValidation type="list" allowBlank="1" showInputMessage="1" showErrorMessage="1" sqref="C17" xr:uid="{A1C2840E-8FC7-43D7-B4FF-51C56856BCE6}">
      <formula1>$B$79:$B$88</formula1>
    </dataValidation>
  </dataValidation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8596D-8EFA-4A07-9081-08D0C2CB7467}">
  <dimension ref="A1:E88"/>
  <sheetViews>
    <sheetView zoomScale="55" zoomScaleNormal="55" workbookViewId="0">
      <selection activeCell="C40" sqref="C40"/>
    </sheetView>
  </sheetViews>
  <sheetFormatPr baseColWidth="10" defaultRowHeight="14"/>
  <cols>
    <col min="2" max="2" width="93.4140625" customWidth="1"/>
    <col min="3" max="3" width="72.6640625" customWidth="1"/>
  </cols>
  <sheetData>
    <row r="1" spans="1:3" ht="14.5" thickBot="1"/>
    <row r="2" spans="1:3" ht="25.5" customHeight="1" thickBot="1">
      <c r="B2" s="263" t="s">
        <v>972</v>
      </c>
      <c r="C2" s="264"/>
    </row>
    <row r="3" spans="1:3" ht="15.5">
      <c r="B3" s="226" t="s">
        <v>973</v>
      </c>
    </row>
    <row r="4" spans="1:3" ht="14.5" thickBot="1"/>
    <row r="5" spans="1:3" ht="25.5" customHeight="1" thickBot="1">
      <c r="B5" s="263" t="s">
        <v>974</v>
      </c>
      <c r="C5" s="265"/>
    </row>
    <row r="6" spans="1:3" ht="15.5">
      <c r="B6" s="238" t="s">
        <v>463</v>
      </c>
      <c r="C6" s="41" t="s">
        <v>958</v>
      </c>
    </row>
    <row r="7" spans="1:3" ht="15.5">
      <c r="B7" s="188" t="s">
        <v>975</v>
      </c>
      <c r="C7" s="41" t="s">
        <v>102</v>
      </c>
    </row>
    <row r="8" spans="1:3" ht="15.5">
      <c r="B8" s="188" t="s">
        <v>976</v>
      </c>
      <c r="C8" s="41" t="s">
        <v>102</v>
      </c>
    </row>
    <row r="9" spans="1:3" ht="15.5">
      <c r="B9" s="188" t="s">
        <v>977</v>
      </c>
      <c r="C9" s="41" t="str">
        <f>+C6</f>
        <v>Finland</v>
      </c>
    </row>
    <row r="10" spans="1:3" ht="16" thickBot="1">
      <c r="A10" s="241" t="s">
        <v>648</v>
      </c>
      <c r="B10" s="239" t="s">
        <v>978</v>
      </c>
      <c r="C10" s="99" t="s">
        <v>650</v>
      </c>
    </row>
    <row r="11" spans="1:3" ht="14.5" thickBot="1">
      <c r="A11" s="241" t="s">
        <v>649</v>
      </c>
    </row>
    <row r="12" spans="1:3" ht="25.5" thickBot="1">
      <c r="A12" s="241" t="s">
        <v>650</v>
      </c>
      <c r="B12" s="263" t="s">
        <v>979</v>
      </c>
      <c r="C12" s="265"/>
    </row>
    <row r="13" spans="1:3" ht="14.5" thickBot="1"/>
    <row r="14" spans="1:3" ht="16" thickBot="1">
      <c r="B14" s="282" t="s">
        <v>980</v>
      </c>
      <c r="C14" s="283"/>
    </row>
    <row r="15" spans="1:3" ht="16" thickBot="1">
      <c r="B15" s="282" t="s">
        <v>981</v>
      </c>
      <c r="C15" s="283"/>
    </row>
    <row r="16" spans="1:3" ht="15.5">
      <c r="A16" s="241" t="s">
        <v>988</v>
      </c>
      <c r="B16" s="238" t="s">
        <v>985</v>
      </c>
      <c r="C16" s="244" t="str">
        <f>+C6</f>
        <v>Finland</v>
      </c>
    </row>
    <row r="17" spans="1:3" ht="16" thickBot="1">
      <c r="A17" s="241" t="s">
        <v>986</v>
      </c>
      <c r="B17" s="239" t="s">
        <v>982</v>
      </c>
      <c r="C17" s="99" t="s">
        <v>1087</v>
      </c>
    </row>
    <row r="18" spans="1:3" ht="16" thickBot="1">
      <c r="A18" s="241" t="s">
        <v>987</v>
      </c>
      <c r="B18" s="226"/>
      <c r="C18" s="226"/>
    </row>
    <row r="19" spans="1:3" ht="16" thickBot="1">
      <c r="A19" s="241" t="s">
        <v>102</v>
      </c>
      <c r="B19" s="266" t="s">
        <v>983</v>
      </c>
      <c r="C19" s="267"/>
    </row>
    <row r="20" spans="1:3" ht="16" thickBot="1">
      <c r="B20" s="282" t="s">
        <v>984</v>
      </c>
      <c r="C20" s="284"/>
    </row>
    <row r="21" spans="1:3" ht="15.5">
      <c r="B21" s="279" t="s">
        <v>991</v>
      </c>
      <c r="C21" s="280"/>
    </row>
    <row r="22" spans="1:3" ht="15.5">
      <c r="B22" s="243" t="str">
        <f>+B16</f>
        <v>Name of the jurisdiction</v>
      </c>
      <c r="C22" s="245" t="str">
        <f t="shared" ref="C22" si="0">+C16</f>
        <v>Finland</v>
      </c>
    </row>
    <row r="23" spans="1:3" ht="15.5">
      <c r="B23" s="188" t="s">
        <v>990</v>
      </c>
      <c r="C23" s="42"/>
    </row>
    <row r="24" spans="1:3" ht="15.5">
      <c r="B24" s="188" t="s">
        <v>992</v>
      </c>
      <c r="C24" s="42"/>
    </row>
    <row r="25" spans="1:3" ht="15.5">
      <c r="B25" s="188" t="s">
        <v>993</v>
      </c>
      <c r="C25" s="42"/>
    </row>
    <row r="26" spans="1:3" ht="16" thickBot="1">
      <c r="B26" s="239" t="s">
        <v>989</v>
      </c>
      <c r="C26" s="106"/>
    </row>
    <row r="27" spans="1:3" ht="15.5">
      <c r="B27" s="279" t="s">
        <v>994</v>
      </c>
      <c r="C27" s="280"/>
    </row>
    <row r="28" spans="1:3" ht="15.5">
      <c r="B28" s="243" t="str">
        <f>+B22</f>
        <v>Name of the jurisdiction</v>
      </c>
      <c r="C28" s="245" t="str">
        <f t="shared" ref="C28" si="1">+C22</f>
        <v>Finland</v>
      </c>
    </row>
    <row r="29" spans="1:3" ht="15.5">
      <c r="B29" s="188" t="s">
        <v>990</v>
      </c>
      <c r="C29" s="42"/>
    </row>
    <row r="30" spans="1:3" ht="15.5">
      <c r="B30" s="188" t="s">
        <v>992</v>
      </c>
      <c r="C30" s="42"/>
    </row>
    <row r="31" spans="1:3" ht="15.5">
      <c r="B31" s="188" t="s">
        <v>993</v>
      </c>
      <c r="C31" s="42"/>
    </row>
    <row r="32" spans="1:3" ht="16" thickBot="1">
      <c r="B32" s="239" t="s">
        <v>989</v>
      </c>
      <c r="C32" s="106"/>
    </row>
    <row r="33" spans="2:5" ht="14.5" thickBot="1"/>
    <row r="34" spans="2:5" ht="16" thickBot="1">
      <c r="B34" s="282" t="s">
        <v>995</v>
      </c>
      <c r="C34" s="283"/>
    </row>
    <row r="35" spans="2:5" ht="16" thickBot="1">
      <c r="B35" s="282" t="s">
        <v>996</v>
      </c>
      <c r="C35" s="283"/>
    </row>
    <row r="36" spans="2:5" ht="15.5">
      <c r="B36" s="246" t="str">
        <f>+B22</f>
        <v>Name of the jurisdiction</v>
      </c>
      <c r="C36" s="247" t="str">
        <f>+C28</f>
        <v>Finland</v>
      </c>
    </row>
    <row r="37" spans="2:5" ht="15.5">
      <c r="B37" s="188" t="s">
        <v>997</v>
      </c>
      <c r="C37" s="41">
        <v>3456876</v>
      </c>
    </row>
    <row r="38" spans="2:5" ht="15.5">
      <c r="B38" s="188" t="s">
        <v>998</v>
      </c>
      <c r="C38" s="41">
        <v>45678765</v>
      </c>
      <c r="E38" s="260"/>
    </row>
    <row r="39" spans="2:5" ht="16" thickBot="1">
      <c r="B39" s="239" t="s">
        <v>999</v>
      </c>
      <c r="C39" s="99">
        <v>465</v>
      </c>
      <c r="E39" s="261"/>
    </row>
    <row r="40" spans="2:5" ht="14.5" thickBot="1"/>
    <row r="41" spans="2:5" ht="16" thickBot="1">
      <c r="B41" s="282" t="s">
        <v>1000</v>
      </c>
      <c r="C41" s="283"/>
    </row>
    <row r="42" spans="2:5" ht="16" thickBot="1">
      <c r="B42" s="231" t="s">
        <v>1001</v>
      </c>
      <c r="C42" s="149"/>
    </row>
    <row r="43" spans="2:5" ht="14.5" thickBot="1"/>
    <row r="44" spans="2:5" ht="16" thickBot="1">
      <c r="B44" s="266" t="s">
        <v>1002</v>
      </c>
      <c r="C44" s="268"/>
    </row>
    <row r="45" spans="2:5" ht="15.5">
      <c r="B45" s="248" t="s">
        <v>1003</v>
      </c>
      <c r="C45" s="195" t="s">
        <v>650</v>
      </c>
    </row>
    <row r="46" spans="2:5" ht="16" thickBot="1">
      <c r="B46" s="249" t="s">
        <v>1004</v>
      </c>
      <c r="C46" s="99" t="s">
        <v>650</v>
      </c>
    </row>
    <row r="47" spans="2:5" ht="15.5">
      <c r="B47" s="287" t="s">
        <v>1008</v>
      </c>
      <c r="C47" s="288"/>
    </row>
    <row r="48" spans="2:5" ht="15.5">
      <c r="B48" s="250" t="s">
        <v>990</v>
      </c>
      <c r="C48" s="41"/>
    </row>
    <row r="49" spans="2:3" ht="15.5">
      <c r="B49" s="250" t="s">
        <v>1005</v>
      </c>
      <c r="C49" s="41"/>
    </row>
    <row r="50" spans="2:3" ht="15.5">
      <c r="B50" s="250" t="s">
        <v>1006</v>
      </c>
      <c r="C50" s="41"/>
    </row>
    <row r="51" spans="2:3" ht="16" thickBot="1">
      <c r="B51" s="251" t="s">
        <v>1010</v>
      </c>
      <c r="C51" s="99"/>
    </row>
    <row r="52" spans="2:3" ht="15.5">
      <c r="B52" s="287" t="s">
        <v>1007</v>
      </c>
      <c r="C52" s="288"/>
    </row>
    <row r="53" spans="2:3" ht="15.5">
      <c r="B53" s="250" t="s">
        <v>990</v>
      </c>
      <c r="C53" s="41"/>
    </row>
    <row r="54" spans="2:3" ht="15.5">
      <c r="B54" s="250" t="s">
        <v>1005</v>
      </c>
      <c r="C54" s="41"/>
    </row>
    <row r="55" spans="2:3" ht="15.5">
      <c r="B55" s="250" t="s">
        <v>1006</v>
      </c>
      <c r="C55" s="41"/>
    </row>
    <row r="56" spans="2:3" ht="16" thickBot="1">
      <c r="B56" s="251" t="s">
        <v>1010</v>
      </c>
      <c r="C56" s="99"/>
    </row>
    <row r="57" spans="2:3" ht="15.5">
      <c r="B57" s="287" t="s">
        <v>1009</v>
      </c>
      <c r="C57" s="288"/>
    </row>
    <row r="58" spans="2:3" ht="15.5">
      <c r="B58" s="250" t="s">
        <v>990</v>
      </c>
      <c r="C58" s="41"/>
    </row>
    <row r="59" spans="2:3" ht="15.5">
      <c r="B59" s="250" t="s">
        <v>1005</v>
      </c>
      <c r="C59" s="41"/>
    </row>
    <row r="60" spans="2:3" ht="15.5">
      <c r="B60" s="250" t="s">
        <v>1006</v>
      </c>
      <c r="C60" s="41"/>
    </row>
    <row r="61" spans="2:3" ht="16" thickBot="1">
      <c r="B61" s="251" t="s">
        <v>1010</v>
      </c>
      <c r="C61" s="99"/>
    </row>
    <row r="62" spans="2:3" ht="15.5">
      <c r="B62" s="287" t="s">
        <v>1011</v>
      </c>
      <c r="C62" s="288"/>
    </row>
    <row r="63" spans="2:3" ht="15.5">
      <c r="B63" s="250" t="s">
        <v>990</v>
      </c>
      <c r="C63" s="41"/>
    </row>
    <row r="64" spans="2:3" ht="15.5">
      <c r="B64" s="250" t="s">
        <v>1005</v>
      </c>
      <c r="C64" s="41"/>
    </row>
    <row r="65" spans="2:3" ht="15.5">
      <c r="B65" s="250" t="s">
        <v>1006</v>
      </c>
      <c r="C65" s="41"/>
    </row>
    <row r="66" spans="2:3" ht="16" thickBot="1">
      <c r="B66" s="239" t="s">
        <v>1010</v>
      </c>
      <c r="C66" s="99"/>
    </row>
    <row r="67" spans="2:3" ht="14.5" thickBot="1"/>
    <row r="68" spans="2:3" ht="16" thickBot="1">
      <c r="B68" s="266" t="s">
        <v>1012</v>
      </c>
      <c r="C68" s="268"/>
    </row>
    <row r="69" spans="2:3" ht="31">
      <c r="B69" s="238" t="s">
        <v>1013</v>
      </c>
      <c r="C69" s="195"/>
    </row>
    <row r="70" spans="2:3" ht="15.5">
      <c r="B70" s="188" t="s">
        <v>1014</v>
      </c>
      <c r="C70" s="41"/>
    </row>
    <row r="71" spans="2:3" ht="31">
      <c r="B71" s="188" t="s">
        <v>1015</v>
      </c>
      <c r="C71" s="41"/>
    </row>
    <row r="72" spans="2:3" ht="31">
      <c r="B72" s="188" t="s">
        <v>1016</v>
      </c>
      <c r="C72" s="41"/>
    </row>
    <row r="73" spans="2:3" ht="31" customHeight="1">
      <c r="B73" s="285" t="s">
        <v>1020</v>
      </c>
      <c r="C73" s="286"/>
    </row>
    <row r="74" spans="2:3" ht="15.5">
      <c r="B74" s="188" t="s">
        <v>1021</v>
      </c>
      <c r="C74" s="41"/>
    </row>
    <row r="75" spans="2:3" ht="15.5">
      <c r="B75" s="188" t="s">
        <v>1017</v>
      </c>
      <c r="C75" s="41"/>
    </row>
    <row r="76" spans="2:3" ht="31">
      <c r="B76" s="188" t="s">
        <v>1018</v>
      </c>
      <c r="C76" s="41"/>
    </row>
    <row r="77" spans="2:3" ht="31.5" thickBot="1">
      <c r="B77" s="239" t="s">
        <v>1019</v>
      </c>
      <c r="C77" s="99"/>
    </row>
    <row r="79" spans="2:3">
      <c r="B79" s="241" t="s">
        <v>102</v>
      </c>
    </row>
    <row r="80" spans="2:3">
      <c r="B80" s="241" t="s">
        <v>1086</v>
      </c>
    </row>
    <row r="81" spans="2:2">
      <c r="B81" s="241" t="s">
        <v>1087</v>
      </c>
    </row>
    <row r="82" spans="2:2">
      <c r="B82" s="241" t="s">
        <v>1094</v>
      </c>
    </row>
    <row r="83" spans="2:2">
      <c r="B83" s="241" t="s">
        <v>1088</v>
      </c>
    </row>
    <row r="84" spans="2:2">
      <c r="B84" s="241" t="s">
        <v>1089</v>
      </c>
    </row>
    <row r="85" spans="2:2">
      <c r="B85" s="241" t="s">
        <v>1090</v>
      </c>
    </row>
    <row r="86" spans="2:2">
      <c r="B86" s="241" t="s">
        <v>1091</v>
      </c>
    </row>
    <row r="87" spans="2:2">
      <c r="B87" s="241" t="s">
        <v>1092</v>
      </c>
    </row>
    <row r="88" spans="2:2">
      <c r="B88" s="241" t="s">
        <v>1093</v>
      </c>
    </row>
  </sheetData>
  <mergeCells count="19">
    <mergeCell ref="B73:C73"/>
    <mergeCell ref="B44:C44"/>
    <mergeCell ref="B47:C47"/>
    <mergeCell ref="B52:C52"/>
    <mergeCell ref="B57:C57"/>
    <mergeCell ref="B62:C62"/>
    <mergeCell ref="B68:C68"/>
    <mergeCell ref="B41:C41"/>
    <mergeCell ref="B2:C2"/>
    <mergeCell ref="B5:C5"/>
    <mergeCell ref="B12:C12"/>
    <mergeCell ref="B14:C14"/>
    <mergeCell ref="B15:C15"/>
    <mergeCell ref="B19:C19"/>
    <mergeCell ref="B20:C20"/>
    <mergeCell ref="B21:C21"/>
    <mergeCell ref="B27:C27"/>
    <mergeCell ref="B34:C34"/>
    <mergeCell ref="B35:C35"/>
  </mergeCells>
  <dataValidations count="2">
    <dataValidation type="list" allowBlank="1" showInputMessage="1" showErrorMessage="1" sqref="C10 C45:C46" xr:uid="{0AD821D5-29C4-4CE5-B6AF-97825B63AA26}">
      <formula1>$A$10:$A$12</formula1>
    </dataValidation>
    <dataValidation type="list" allowBlank="1" showInputMessage="1" showErrorMessage="1" sqref="C17" xr:uid="{3C921E35-668B-437F-946B-921715C504B8}">
      <formula1>$B$79:$B$88</formula1>
    </dataValidation>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051C1-7719-4FB1-AB98-EFC698887C21}">
  <dimension ref="A1:AD513"/>
  <sheetViews>
    <sheetView topLeftCell="C1" zoomScale="50" zoomScaleNormal="50" workbookViewId="0">
      <selection activeCell="E442" sqref="E442:E443"/>
    </sheetView>
  </sheetViews>
  <sheetFormatPr baseColWidth="10" defaultColWidth="8.25" defaultRowHeight="15.5"/>
  <cols>
    <col min="1" max="3" width="14.33203125" style="14" customWidth="1"/>
    <col min="4" max="4" width="119.58203125" style="14" customWidth="1"/>
    <col min="5" max="5" width="46.4140625" style="14" customWidth="1"/>
    <col min="6" max="8" width="45.9140625" style="14" customWidth="1"/>
    <col min="9" max="9" width="61.4140625" style="14" customWidth="1"/>
    <col min="10" max="10" width="62.4140625" style="14" customWidth="1"/>
    <col min="11" max="12" width="45.9140625" style="14" customWidth="1"/>
    <col min="13" max="13" width="25" style="14" customWidth="1"/>
    <col min="14" max="14" width="22.5" style="14" customWidth="1"/>
    <col min="15" max="15" width="22.58203125" style="56" customWidth="1"/>
    <col min="16" max="16384" width="8.25" style="56"/>
  </cols>
  <sheetData>
    <row r="1" spans="1:14" ht="16" thickBot="1"/>
    <row r="2" spans="1:14" ht="25.5" thickBot="1">
      <c r="D2" s="263" t="s">
        <v>458</v>
      </c>
      <c r="E2" s="265"/>
      <c r="F2" s="7"/>
      <c r="G2" s="7"/>
      <c r="H2" s="7"/>
      <c r="I2" s="7"/>
      <c r="J2" s="7"/>
      <c r="K2" s="13"/>
      <c r="L2" s="7"/>
      <c r="M2" s="7"/>
    </row>
    <row r="3" spans="1:14" ht="31" customHeight="1">
      <c r="A3" s="7"/>
      <c r="B3" s="7"/>
      <c r="C3" s="7"/>
      <c r="D3" s="308" t="s">
        <v>459</v>
      </c>
      <c r="E3" s="308"/>
      <c r="F3" s="7"/>
      <c r="G3" s="7"/>
      <c r="H3" s="7"/>
      <c r="I3" s="7"/>
      <c r="J3" s="7"/>
      <c r="K3" s="7"/>
      <c r="L3" s="7"/>
      <c r="M3" s="7"/>
      <c r="N3" s="7"/>
    </row>
    <row r="4" spans="1:14">
      <c r="A4" s="7"/>
      <c r="B4" s="7"/>
      <c r="C4" s="7"/>
      <c r="D4" s="7"/>
      <c r="E4" s="7"/>
      <c r="F4" s="7"/>
      <c r="G4" s="7"/>
      <c r="H4" s="7"/>
      <c r="I4" s="7"/>
      <c r="J4" s="7"/>
      <c r="K4" s="7"/>
      <c r="L4" s="7"/>
      <c r="M4" s="7"/>
      <c r="N4" s="7"/>
    </row>
    <row r="5" spans="1:14">
      <c r="A5" s="7"/>
      <c r="B5" s="7"/>
      <c r="C5" s="7"/>
      <c r="D5" s="7" t="s">
        <v>461</v>
      </c>
      <c r="E5" s="57" t="s">
        <v>460</v>
      </c>
      <c r="F5" s="7"/>
      <c r="G5" s="7"/>
      <c r="H5" s="7"/>
      <c r="I5" s="7"/>
      <c r="J5" s="7"/>
      <c r="K5" s="7"/>
      <c r="L5" s="7"/>
      <c r="M5" s="7"/>
      <c r="N5" s="7"/>
    </row>
    <row r="6" spans="1:14">
      <c r="A6" s="7"/>
      <c r="B6" s="7"/>
      <c r="C6" s="7"/>
      <c r="D6" s="7" t="s">
        <v>482</v>
      </c>
      <c r="E6" s="58" t="s">
        <v>483</v>
      </c>
      <c r="F6" s="7"/>
      <c r="G6" s="7"/>
      <c r="H6" s="7"/>
      <c r="I6" s="7"/>
      <c r="J6" s="7"/>
      <c r="K6" s="7"/>
      <c r="L6" s="7"/>
      <c r="M6" s="7"/>
      <c r="N6" s="7"/>
    </row>
    <row r="7" spans="1:14">
      <c r="A7" s="7"/>
      <c r="B7" s="7"/>
      <c r="C7" s="7"/>
      <c r="D7" s="7" t="s">
        <v>536</v>
      </c>
      <c r="E7" s="59" t="s">
        <v>537</v>
      </c>
      <c r="F7" s="7"/>
      <c r="G7" s="7"/>
      <c r="H7" s="7"/>
      <c r="I7" s="7"/>
      <c r="J7" s="7"/>
      <c r="K7" s="7"/>
      <c r="L7" s="7"/>
      <c r="M7" s="7"/>
      <c r="N7" s="7"/>
    </row>
    <row r="8" spans="1:14" ht="16" thickBot="1">
      <c r="A8" s="7"/>
      <c r="B8" s="7"/>
      <c r="C8" s="7"/>
      <c r="D8" s="7"/>
      <c r="E8" s="7"/>
      <c r="F8" s="7"/>
      <c r="G8" s="7"/>
      <c r="H8" s="7"/>
      <c r="I8" s="7"/>
      <c r="J8" s="7"/>
      <c r="K8" s="7"/>
      <c r="L8" s="7"/>
      <c r="M8" s="7"/>
      <c r="N8" s="7"/>
    </row>
    <row r="9" spans="1:14" ht="25">
      <c r="D9" s="306" t="s">
        <v>0</v>
      </c>
      <c r="E9" s="307"/>
      <c r="F9" s="7"/>
      <c r="G9" s="7"/>
      <c r="H9" s="7"/>
      <c r="I9" s="7"/>
      <c r="J9" s="7"/>
      <c r="K9" s="7"/>
      <c r="L9" s="7"/>
      <c r="M9" s="7"/>
      <c r="N9" s="7"/>
    </row>
    <row r="10" spans="1:14" ht="17.25" customHeight="1">
      <c r="D10" s="20" t="s">
        <v>463</v>
      </c>
      <c r="E10" s="21" t="s">
        <v>2</v>
      </c>
      <c r="F10" s="7"/>
      <c r="I10" s="7"/>
      <c r="J10" s="7"/>
      <c r="M10" s="7"/>
      <c r="N10" s="7"/>
    </row>
    <row r="11" spans="1:14" ht="17.25" customHeight="1">
      <c r="D11" s="20" t="s">
        <v>651</v>
      </c>
      <c r="E11" s="21" t="s">
        <v>3</v>
      </c>
      <c r="F11" s="7"/>
      <c r="G11" s="7"/>
      <c r="H11" s="7"/>
      <c r="I11" s="7"/>
      <c r="J11" s="7"/>
      <c r="K11" s="7"/>
      <c r="L11" s="7"/>
      <c r="M11" s="7"/>
      <c r="N11" s="7"/>
    </row>
    <row r="12" spans="1:14" ht="17.25" customHeight="1">
      <c r="D12" s="20" t="s">
        <v>652</v>
      </c>
      <c r="E12" s="21" t="s">
        <v>3</v>
      </c>
      <c r="F12" s="7"/>
      <c r="G12" s="7"/>
      <c r="H12" s="7"/>
      <c r="I12" s="7"/>
      <c r="J12" s="7"/>
      <c r="K12" s="7"/>
      <c r="L12" s="7"/>
      <c r="M12" s="7"/>
      <c r="N12" s="7"/>
    </row>
    <row r="13" spans="1:14" ht="17.25" customHeight="1">
      <c r="D13" s="20" t="s">
        <v>464</v>
      </c>
      <c r="E13" s="21" t="s">
        <v>2</v>
      </c>
      <c r="F13" s="7"/>
      <c r="G13" s="7"/>
      <c r="H13" s="7"/>
      <c r="I13" s="7"/>
      <c r="J13" s="7"/>
      <c r="K13" s="7"/>
      <c r="L13" s="7"/>
      <c r="M13" s="7"/>
      <c r="N13" s="7"/>
    </row>
    <row r="14" spans="1:14" ht="17.25" customHeight="1">
      <c r="D14" s="20" t="s">
        <v>465</v>
      </c>
      <c r="E14" s="60">
        <f>+E36</f>
        <v>1.5049035055849366E-2</v>
      </c>
      <c r="F14" s="7"/>
      <c r="G14" s="61"/>
      <c r="H14" s="7"/>
      <c r="I14" s="7"/>
      <c r="J14" s="7"/>
      <c r="K14" s="7"/>
      <c r="L14" s="7"/>
      <c r="M14" s="7"/>
      <c r="N14" s="7"/>
    </row>
    <row r="15" spans="1:14" ht="17.25" customHeight="1">
      <c r="D15" s="20" t="s">
        <v>466</v>
      </c>
      <c r="E15" s="62">
        <f>+E35</f>
        <v>3582188</v>
      </c>
      <c r="F15" s="7"/>
      <c r="G15" s="7"/>
      <c r="H15" s="7"/>
      <c r="I15" s="7"/>
      <c r="J15" s="7"/>
      <c r="K15" s="7"/>
      <c r="L15" s="7"/>
      <c r="M15" s="7"/>
      <c r="N15" s="7"/>
    </row>
    <row r="16" spans="1:14" ht="17.25" customHeight="1">
      <c r="D16" s="20" t="s">
        <v>467</v>
      </c>
      <c r="E16" s="62">
        <f>+E33</f>
        <v>238034398</v>
      </c>
      <c r="F16" s="7"/>
      <c r="G16" s="7"/>
      <c r="H16" s="7"/>
      <c r="I16" s="7"/>
      <c r="J16" s="7"/>
      <c r="K16" s="7"/>
      <c r="L16" s="7"/>
      <c r="M16" s="7"/>
      <c r="N16" s="7"/>
    </row>
    <row r="17" spans="2:14" ht="17.25" customHeight="1">
      <c r="D17" s="20" t="s">
        <v>468</v>
      </c>
      <c r="E17" s="62">
        <f>+E437</f>
        <v>341400</v>
      </c>
      <c r="F17" s="7"/>
      <c r="G17" s="61"/>
      <c r="H17" s="63"/>
      <c r="I17" s="7"/>
      <c r="J17" s="7"/>
      <c r="K17" s="7"/>
      <c r="L17" s="7"/>
      <c r="M17" s="7"/>
      <c r="N17" s="7"/>
    </row>
    <row r="18" spans="2:14" ht="17.25" customHeight="1">
      <c r="D18" s="20" t="s">
        <v>469</v>
      </c>
      <c r="E18" s="62">
        <f>+E475</f>
        <v>0</v>
      </c>
      <c r="F18" s="7"/>
      <c r="G18" s="63"/>
      <c r="H18" s="7"/>
      <c r="I18" s="7"/>
      <c r="J18" s="7"/>
      <c r="K18" s="7"/>
      <c r="L18" s="7"/>
      <c r="M18" s="7"/>
      <c r="N18" s="7"/>
    </row>
    <row r="19" spans="2:14" ht="17.25" customHeight="1">
      <c r="D19" s="20" t="s">
        <v>470</v>
      </c>
      <c r="E19" s="64">
        <f>+E425</f>
        <v>32076899.440568063</v>
      </c>
      <c r="F19" s="7"/>
      <c r="G19" s="7"/>
      <c r="H19" s="7"/>
      <c r="I19" s="7"/>
      <c r="J19" s="7"/>
      <c r="K19" s="7"/>
      <c r="L19" s="7"/>
      <c r="M19" s="7"/>
      <c r="N19" s="7"/>
    </row>
    <row r="20" spans="2:14" ht="17.25" customHeight="1">
      <c r="D20" s="20" t="s">
        <v>471</v>
      </c>
      <c r="E20" s="65"/>
      <c r="F20" s="7"/>
      <c r="G20" s="7"/>
      <c r="H20" s="7"/>
      <c r="I20" s="7"/>
      <c r="J20" s="7"/>
      <c r="K20" s="7"/>
      <c r="L20" s="7"/>
      <c r="M20" s="7"/>
      <c r="N20" s="7"/>
    </row>
    <row r="21" spans="2:14" ht="17.25" customHeight="1">
      <c r="D21" s="20" t="s">
        <v>472</v>
      </c>
      <c r="E21" s="66">
        <f>+E73</f>
        <v>3457864</v>
      </c>
      <c r="F21" s="7"/>
      <c r="G21" s="7"/>
      <c r="H21" s="7"/>
      <c r="I21" s="7"/>
      <c r="J21" s="7"/>
      <c r="K21" s="7"/>
      <c r="L21" s="7"/>
      <c r="M21" s="7"/>
      <c r="N21" s="7"/>
    </row>
    <row r="22" spans="2:14" ht="17.25" customHeight="1">
      <c r="D22" s="20" t="s">
        <v>462</v>
      </c>
      <c r="E22" s="51">
        <f>+E78</f>
        <v>0</v>
      </c>
      <c r="F22" s="7"/>
      <c r="G22" s="7"/>
      <c r="H22" s="7"/>
      <c r="I22" s="7"/>
      <c r="J22" s="7"/>
      <c r="K22" s="7"/>
      <c r="L22" s="7"/>
      <c r="M22" s="7"/>
      <c r="N22" s="7"/>
    </row>
    <row r="23" spans="2:14" ht="17.25" customHeight="1">
      <c r="D23" s="20" t="s">
        <v>473</v>
      </c>
      <c r="E23" s="51">
        <f>+E81</f>
        <v>0</v>
      </c>
      <c r="F23" s="7"/>
      <c r="G23" s="7"/>
      <c r="H23" s="7"/>
      <c r="I23" s="7"/>
      <c r="J23" s="7"/>
      <c r="K23" s="7"/>
      <c r="L23" s="7"/>
      <c r="M23" s="7"/>
      <c r="N23" s="7"/>
    </row>
    <row r="24" spans="2:14" ht="17.25" customHeight="1">
      <c r="D24" s="20" t="s">
        <v>474</v>
      </c>
      <c r="E24" s="66">
        <f>+F123</f>
        <v>124324</v>
      </c>
      <c r="F24" s="7"/>
      <c r="G24" s="7"/>
      <c r="H24" s="7"/>
      <c r="I24" s="7"/>
      <c r="J24" s="7"/>
      <c r="K24" s="7"/>
      <c r="L24" s="7"/>
      <c r="M24" s="7"/>
      <c r="N24" s="7"/>
    </row>
    <row r="25" spans="2:14" ht="17.25" customHeight="1">
      <c r="D25" s="20" t="s">
        <v>475</v>
      </c>
      <c r="E25" s="51">
        <f>+E55</f>
        <v>0</v>
      </c>
      <c r="F25" s="7"/>
      <c r="G25" s="7"/>
      <c r="H25" s="7"/>
      <c r="I25" s="7"/>
      <c r="J25" s="7"/>
      <c r="K25" s="7"/>
      <c r="L25" s="7"/>
      <c r="M25" s="7"/>
      <c r="N25" s="7"/>
    </row>
    <row r="26" spans="2:14" ht="17.25" customHeight="1">
      <c r="B26" s="56"/>
      <c r="C26" s="56"/>
      <c r="D26" s="20" t="s">
        <v>476</v>
      </c>
      <c r="E26" s="257">
        <f>E93</f>
        <v>0</v>
      </c>
      <c r="F26" s="7"/>
      <c r="G26" s="7"/>
      <c r="H26" s="7"/>
      <c r="I26" s="7"/>
      <c r="J26" s="7"/>
      <c r="K26" s="7"/>
      <c r="L26" s="7"/>
      <c r="M26" s="7"/>
      <c r="N26" s="7"/>
    </row>
    <row r="27" spans="2:14" ht="17.25" customHeight="1" thickBot="1">
      <c r="D27" s="22" t="s">
        <v>477</v>
      </c>
      <c r="E27" s="67"/>
      <c r="F27" s="7"/>
      <c r="G27" s="7"/>
      <c r="H27" s="7"/>
      <c r="I27" s="7"/>
      <c r="J27" s="7"/>
      <c r="K27" s="7"/>
      <c r="L27" s="7"/>
      <c r="M27" s="7"/>
      <c r="N27" s="7"/>
    </row>
    <row r="28" spans="2:14">
      <c r="D28" s="7"/>
      <c r="E28" s="7"/>
      <c r="F28" s="7"/>
      <c r="G28" s="7"/>
      <c r="H28" s="7"/>
      <c r="I28" s="7"/>
      <c r="J28" s="7"/>
      <c r="K28" s="7"/>
      <c r="L28" s="7"/>
      <c r="M28" s="7"/>
      <c r="N28" s="7"/>
    </row>
    <row r="29" spans="2:14" ht="16" thickBot="1">
      <c r="D29" s="10"/>
      <c r="E29" s="7"/>
      <c r="F29" s="7"/>
      <c r="G29" s="7"/>
      <c r="H29" s="7"/>
      <c r="I29" s="7"/>
      <c r="J29" s="7"/>
      <c r="K29" s="7"/>
      <c r="L29" s="7"/>
      <c r="M29" s="7"/>
      <c r="N29" s="7"/>
    </row>
    <row r="30" spans="2:14" ht="25.5" thickBot="1">
      <c r="D30" s="306" t="s">
        <v>4</v>
      </c>
      <c r="E30" s="307" t="s">
        <v>1</v>
      </c>
      <c r="F30" s="7"/>
      <c r="G30" s="7"/>
      <c r="H30" s="7"/>
      <c r="I30" s="7"/>
      <c r="J30" s="7"/>
      <c r="K30" s="68"/>
      <c r="L30" s="7"/>
      <c r="M30" s="7"/>
      <c r="N30" s="7"/>
    </row>
    <row r="31" spans="2:14" ht="20">
      <c r="D31" s="309" t="s">
        <v>6</v>
      </c>
      <c r="E31" s="310" t="s">
        <v>1</v>
      </c>
      <c r="F31" s="69" t="s">
        <v>5</v>
      </c>
      <c r="G31" s="69"/>
      <c r="H31" s="2"/>
      <c r="I31" s="7"/>
      <c r="J31" s="7"/>
      <c r="K31" s="17"/>
    </row>
    <row r="32" spans="2:14">
      <c r="D32" s="23" t="s">
        <v>9</v>
      </c>
      <c r="E32" s="70">
        <f>+M233</f>
        <v>234576534</v>
      </c>
      <c r="F32" s="69" t="s">
        <v>7</v>
      </c>
      <c r="G32" s="69" t="s">
        <v>8</v>
      </c>
      <c r="I32" s="7"/>
      <c r="J32" s="7"/>
      <c r="K32" s="68"/>
    </row>
    <row r="33" spans="4:11">
      <c r="D33" s="24" t="s">
        <v>478</v>
      </c>
      <c r="E33" s="70">
        <f>+E68</f>
        <v>238034398</v>
      </c>
      <c r="F33" s="69" t="s">
        <v>10</v>
      </c>
      <c r="G33" s="69" t="s">
        <v>11</v>
      </c>
      <c r="H33" s="71"/>
      <c r="I33" s="7"/>
      <c r="J33" s="7"/>
      <c r="K33" s="32"/>
    </row>
    <row r="34" spans="4:11">
      <c r="D34" s="24" t="s">
        <v>479</v>
      </c>
      <c r="E34" s="70">
        <f>+E42</f>
        <v>3457864</v>
      </c>
      <c r="F34" s="69" t="s">
        <v>12</v>
      </c>
      <c r="G34" s="69" t="s">
        <v>13</v>
      </c>
      <c r="I34" s="7"/>
      <c r="J34" s="7"/>
      <c r="K34" s="68"/>
    </row>
    <row r="35" spans="4:11">
      <c r="D35" s="24" t="s">
        <v>480</v>
      </c>
      <c r="E35" s="70">
        <f>+M311</f>
        <v>3582188</v>
      </c>
      <c r="F35" s="69" t="s">
        <v>14</v>
      </c>
      <c r="G35" s="69" t="s">
        <v>15</v>
      </c>
      <c r="H35" s="71"/>
      <c r="I35" s="7"/>
      <c r="J35" s="7"/>
      <c r="K35" s="7"/>
    </row>
    <row r="36" spans="4:11" ht="16" thickBot="1">
      <c r="D36" s="25" t="s">
        <v>481</v>
      </c>
      <c r="E36" s="72">
        <f>+E35/E33</f>
        <v>1.5049035055849366E-2</v>
      </c>
      <c r="F36" s="69" t="s">
        <v>16</v>
      </c>
      <c r="G36" s="69" t="s">
        <v>17</v>
      </c>
      <c r="I36" s="7"/>
      <c r="J36" s="7"/>
      <c r="K36" s="68"/>
    </row>
    <row r="37" spans="4:11">
      <c r="D37" s="56"/>
      <c r="E37" s="56"/>
      <c r="F37" s="7"/>
      <c r="G37" s="56"/>
      <c r="I37" s="7"/>
      <c r="J37" s="7"/>
      <c r="K37" s="7"/>
    </row>
    <row r="38" spans="4:11" ht="16" thickBot="1">
      <c r="D38" s="56"/>
      <c r="E38" s="56"/>
      <c r="G38" s="56"/>
      <c r="I38" s="7"/>
      <c r="J38" s="7"/>
      <c r="K38" s="7"/>
    </row>
    <row r="39" spans="4:11" ht="16" thickBot="1">
      <c r="D39" s="311" t="s">
        <v>18</v>
      </c>
      <c r="E39" s="312"/>
      <c r="F39" s="33"/>
      <c r="G39" s="56"/>
      <c r="I39" s="7"/>
      <c r="J39" s="7"/>
      <c r="K39" s="7"/>
    </row>
    <row r="40" spans="4:11">
      <c r="D40" s="26" t="s">
        <v>20</v>
      </c>
      <c r="E40" s="29">
        <f>+M233</f>
        <v>234576534</v>
      </c>
      <c r="F40" s="69" t="s">
        <v>19</v>
      </c>
      <c r="G40" s="69"/>
      <c r="K40" s="73"/>
    </row>
    <row r="41" spans="4:11">
      <c r="D41" s="27" t="s">
        <v>22</v>
      </c>
      <c r="E41" s="74" t="s">
        <v>140</v>
      </c>
      <c r="F41" s="69" t="s">
        <v>21</v>
      </c>
      <c r="G41" s="69"/>
      <c r="H41" s="56"/>
      <c r="I41" s="56"/>
      <c r="J41" s="56"/>
      <c r="K41" s="32"/>
    </row>
    <row r="42" spans="4:11">
      <c r="D42" s="27" t="s">
        <v>484</v>
      </c>
      <c r="E42" s="30">
        <f>+M235</f>
        <v>3457864</v>
      </c>
      <c r="F42" s="69" t="s">
        <v>23</v>
      </c>
      <c r="G42" s="69" t="s">
        <v>512</v>
      </c>
    </row>
    <row r="43" spans="4:11">
      <c r="D43" s="27" t="s">
        <v>485</v>
      </c>
      <c r="E43" s="30">
        <f t="shared" ref="E43:E67" si="0">+M236</f>
        <v>0</v>
      </c>
      <c r="F43" s="69" t="s">
        <v>24</v>
      </c>
      <c r="G43" s="69" t="s">
        <v>510</v>
      </c>
      <c r="H43" s="71"/>
    </row>
    <row r="44" spans="4:11">
      <c r="D44" s="27" t="s">
        <v>486</v>
      </c>
      <c r="E44" s="30">
        <f t="shared" si="0"/>
        <v>0</v>
      </c>
      <c r="F44" s="69" t="s">
        <v>25</v>
      </c>
      <c r="G44" s="69" t="s">
        <v>511</v>
      </c>
      <c r="H44" s="71"/>
    </row>
    <row r="45" spans="4:11">
      <c r="D45" s="27" t="s">
        <v>487</v>
      </c>
      <c r="E45" s="30">
        <f t="shared" si="0"/>
        <v>0</v>
      </c>
      <c r="F45" s="69" t="s">
        <v>26</v>
      </c>
      <c r="G45" s="69" t="s">
        <v>513</v>
      </c>
    </row>
    <row r="46" spans="4:11">
      <c r="D46" s="27" t="s">
        <v>488</v>
      </c>
      <c r="E46" s="30">
        <f t="shared" si="0"/>
        <v>0</v>
      </c>
      <c r="F46" s="69" t="s">
        <v>27</v>
      </c>
      <c r="G46" s="69" t="s">
        <v>514</v>
      </c>
    </row>
    <row r="47" spans="4:11">
      <c r="D47" s="27" t="s">
        <v>489</v>
      </c>
      <c r="E47" s="30">
        <f t="shared" si="0"/>
        <v>0</v>
      </c>
      <c r="F47" s="69" t="s">
        <v>28</v>
      </c>
      <c r="G47" s="69" t="s">
        <v>515</v>
      </c>
    </row>
    <row r="48" spans="4:11">
      <c r="D48" s="27" t="s">
        <v>490</v>
      </c>
      <c r="E48" s="30">
        <f t="shared" si="0"/>
        <v>0</v>
      </c>
      <c r="F48" s="69" t="s">
        <v>29</v>
      </c>
      <c r="G48" s="69" t="s">
        <v>516</v>
      </c>
      <c r="H48" s="71"/>
    </row>
    <row r="49" spans="4:8">
      <c r="D49" s="27" t="s">
        <v>491</v>
      </c>
      <c r="E49" s="30">
        <f t="shared" si="0"/>
        <v>0</v>
      </c>
      <c r="F49" s="69" t="s">
        <v>30</v>
      </c>
      <c r="G49" s="69" t="s">
        <v>517</v>
      </c>
      <c r="H49" s="71"/>
    </row>
    <row r="50" spans="4:8">
      <c r="D50" s="27" t="s">
        <v>492</v>
      </c>
      <c r="E50" s="30">
        <f t="shared" si="0"/>
        <v>0</v>
      </c>
      <c r="F50" s="69" t="s">
        <v>31</v>
      </c>
      <c r="G50" s="69" t="s">
        <v>518</v>
      </c>
    </row>
    <row r="51" spans="4:8">
      <c r="D51" s="27" t="s">
        <v>493</v>
      </c>
      <c r="E51" s="30">
        <f t="shared" si="0"/>
        <v>0</v>
      </c>
      <c r="F51" s="69" t="s">
        <v>32</v>
      </c>
      <c r="G51" s="69" t="s">
        <v>519</v>
      </c>
    </row>
    <row r="52" spans="4:8">
      <c r="D52" s="27" t="s">
        <v>494</v>
      </c>
      <c r="E52" s="30">
        <f t="shared" si="0"/>
        <v>0</v>
      </c>
      <c r="F52" s="69" t="s">
        <v>33</v>
      </c>
      <c r="G52" s="69" t="s">
        <v>520</v>
      </c>
    </row>
    <row r="53" spans="4:8">
      <c r="D53" s="27" t="s">
        <v>496</v>
      </c>
      <c r="E53" s="30">
        <f t="shared" si="0"/>
        <v>0</v>
      </c>
      <c r="F53" s="69" t="s">
        <v>34</v>
      </c>
      <c r="G53" s="69" t="s">
        <v>521</v>
      </c>
      <c r="H53" s="71"/>
    </row>
    <row r="54" spans="4:8">
      <c r="D54" s="27" t="s">
        <v>495</v>
      </c>
      <c r="E54" s="30">
        <f t="shared" si="0"/>
        <v>0</v>
      </c>
      <c r="F54" s="69" t="s">
        <v>35</v>
      </c>
      <c r="G54" s="69" t="s">
        <v>522</v>
      </c>
      <c r="H54" s="71"/>
    </row>
    <row r="55" spans="4:8">
      <c r="D55" s="27" t="s">
        <v>497</v>
      </c>
      <c r="E55" s="30">
        <f t="shared" si="0"/>
        <v>0</v>
      </c>
      <c r="F55" s="69" t="s">
        <v>36</v>
      </c>
      <c r="G55" s="69" t="s">
        <v>523</v>
      </c>
    </row>
    <row r="56" spans="4:8">
      <c r="D56" s="27" t="s">
        <v>498</v>
      </c>
      <c r="E56" s="30">
        <f t="shared" si="0"/>
        <v>0</v>
      </c>
      <c r="F56" s="69" t="s">
        <v>37</v>
      </c>
      <c r="G56" s="69" t="s">
        <v>524</v>
      </c>
    </row>
    <row r="57" spans="4:8">
      <c r="D57" s="27" t="s">
        <v>499</v>
      </c>
      <c r="E57" s="30">
        <f t="shared" si="0"/>
        <v>0</v>
      </c>
      <c r="F57" s="69" t="s">
        <v>38</v>
      </c>
      <c r="G57" s="69" t="s">
        <v>525</v>
      </c>
    </row>
    <row r="58" spans="4:8">
      <c r="D58" s="27" t="s">
        <v>500</v>
      </c>
      <c r="E58" s="30">
        <f t="shared" si="0"/>
        <v>0</v>
      </c>
      <c r="F58" s="69" t="s">
        <v>39</v>
      </c>
      <c r="G58" s="69" t="s">
        <v>526</v>
      </c>
    </row>
    <row r="59" spans="4:8">
      <c r="D59" s="27" t="s">
        <v>501</v>
      </c>
      <c r="E59" s="30">
        <f t="shared" si="0"/>
        <v>0</v>
      </c>
      <c r="F59" s="69" t="s">
        <v>40</v>
      </c>
      <c r="G59" s="69" t="s">
        <v>527</v>
      </c>
    </row>
    <row r="60" spans="4:8">
      <c r="D60" s="27" t="s">
        <v>502</v>
      </c>
      <c r="E60" s="30">
        <f t="shared" si="0"/>
        <v>0</v>
      </c>
      <c r="F60" s="69" t="s">
        <v>41</v>
      </c>
      <c r="G60" s="69" t="s">
        <v>528</v>
      </c>
    </row>
    <row r="61" spans="4:8" ht="31">
      <c r="D61" s="27" t="s">
        <v>503</v>
      </c>
      <c r="E61" s="30">
        <f t="shared" si="0"/>
        <v>0</v>
      </c>
      <c r="F61" s="69" t="s">
        <v>42</v>
      </c>
      <c r="G61" s="69" t="s">
        <v>529</v>
      </c>
    </row>
    <row r="62" spans="4:8">
      <c r="D62" s="27" t="s">
        <v>504</v>
      </c>
      <c r="E62" s="30">
        <f t="shared" si="0"/>
        <v>0</v>
      </c>
      <c r="F62" s="69" t="s">
        <v>43</v>
      </c>
      <c r="G62" s="69" t="s">
        <v>530</v>
      </c>
    </row>
    <row r="63" spans="4:8">
      <c r="D63" s="27" t="s">
        <v>505</v>
      </c>
      <c r="E63" s="30">
        <f t="shared" si="0"/>
        <v>0</v>
      </c>
      <c r="F63" s="69" t="s">
        <v>44</v>
      </c>
      <c r="G63" s="69" t="s">
        <v>531</v>
      </c>
    </row>
    <row r="64" spans="4:8">
      <c r="D64" s="27" t="s">
        <v>506</v>
      </c>
      <c r="E64" s="30">
        <f t="shared" si="0"/>
        <v>0</v>
      </c>
      <c r="F64" s="69" t="s">
        <v>45</v>
      </c>
      <c r="G64" s="69" t="s">
        <v>532</v>
      </c>
    </row>
    <row r="65" spans="4:18">
      <c r="D65" s="27" t="s">
        <v>507</v>
      </c>
      <c r="E65" s="30">
        <f t="shared" si="0"/>
        <v>0</v>
      </c>
      <c r="F65" s="69" t="s">
        <v>46</v>
      </c>
      <c r="G65" s="69" t="s">
        <v>533</v>
      </c>
    </row>
    <row r="66" spans="4:18">
      <c r="D66" s="27" t="s">
        <v>508</v>
      </c>
      <c r="E66" s="30">
        <f t="shared" si="0"/>
        <v>0</v>
      </c>
      <c r="F66" s="69" t="s">
        <v>47</v>
      </c>
      <c r="G66" s="69" t="s">
        <v>534</v>
      </c>
    </row>
    <row r="67" spans="4:18">
      <c r="D67" s="27" t="s">
        <v>509</v>
      </c>
      <c r="E67" s="30">
        <f t="shared" si="0"/>
        <v>0</v>
      </c>
      <c r="F67" s="69" t="s">
        <v>48</v>
      </c>
      <c r="G67" s="69" t="s">
        <v>535</v>
      </c>
      <c r="H67" s="71"/>
    </row>
    <row r="68" spans="4:18" ht="16" thickBot="1">
      <c r="D68" s="31" t="s">
        <v>50</v>
      </c>
      <c r="E68" s="75">
        <f>+M261</f>
        <v>238034398</v>
      </c>
      <c r="F68" s="69" t="s">
        <v>10</v>
      </c>
      <c r="G68" s="69" t="s">
        <v>49</v>
      </c>
    </row>
    <row r="69" spans="4:18" ht="15.75" customHeight="1">
      <c r="G69" s="56"/>
    </row>
    <row r="70" spans="4:18" ht="15" customHeight="1" thickBot="1">
      <c r="G70" s="56"/>
    </row>
    <row r="71" spans="4:18" ht="14.25" customHeight="1" thickBot="1">
      <c r="D71" s="311" t="s">
        <v>51</v>
      </c>
      <c r="E71" s="312"/>
      <c r="G71" s="56"/>
    </row>
    <row r="72" spans="4:18">
      <c r="D72" s="311" t="s">
        <v>52</v>
      </c>
      <c r="E72" s="312"/>
      <c r="F72" s="69"/>
      <c r="G72" s="69"/>
      <c r="H72" s="69"/>
    </row>
    <row r="73" spans="4:18">
      <c r="D73" s="37" t="s">
        <v>55</v>
      </c>
      <c r="E73" s="38">
        <f>+M292</f>
        <v>3457864</v>
      </c>
      <c r="F73" s="69" t="s">
        <v>53</v>
      </c>
      <c r="G73" s="69" t="s">
        <v>54</v>
      </c>
      <c r="H73" s="69"/>
      <c r="I73" s="7"/>
      <c r="K73" s="32"/>
    </row>
    <row r="74" spans="4:18">
      <c r="D74" s="37" t="s">
        <v>22</v>
      </c>
      <c r="E74" s="76" t="s">
        <v>140</v>
      </c>
      <c r="F74" s="69" t="s">
        <v>21</v>
      </c>
      <c r="G74" s="69"/>
      <c r="H74" s="69"/>
      <c r="I74" s="7"/>
      <c r="K74" s="32"/>
    </row>
    <row r="75" spans="4:18">
      <c r="D75" s="20" t="s">
        <v>539</v>
      </c>
      <c r="E75" s="30">
        <f>+M294</f>
        <v>0</v>
      </c>
      <c r="F75" s="69" t="s">
        <v>57</v>
      </c>
      <c r="G75" s="69" t="s">
        <v>56</v>
      </c>
      <c r="H75" s="69" t="s">
        <v>557</v>
      </c>
      <c r="I75" s="7"/>
    </row>
    <row r="76" spans="4:18" ht="69.5" customHeight="1">
      <c r="D76" s="20" t="s">
        <v>540</v>
      </c>
      <c r="E76" s="40">
        <v>0</v>
      </c>
      <c r="F76" s="69"/>
      <c r="G76" s="69" t="s">
        <v>58</v>
      </c>
      <c r="H76" s="69" t="s">
        <v>558</v>
      </c>
      <c r="I76" s="292" t="s">
        <v>59</v>
      </c>
      <c r="J76" s="292"/>
      <c r="K76" s="292"/>
      <c r="L76" s="292"/>
      <c r="M76" s="292"/>
      <c r="N76" s="292"/>
      <c r="O76" s="292"/>
      <c r="P76" s="292"/>
      <c r="Q76" s="292"/>
      <c r="R76" s="292"/>
    </row>
    <row r="77" spans="4:18">
      <c r="D77" s="20" t="s">
        <v>541</v>
      </c>
      <c r="E77" s="30">
        <f>+M295</f>
        <v>0</v>
      </c>
      <c r="F77" s="69" t="s">
        <v>61</v>
      </c>
      <c r="G77" s="69" t="s">
        <v>60</v>
      </c>
      <c r="H77" s="69" t="s">
        <v>559</v>
      </c>
    </row>
    <row r="78" spans="4:18" ht="31">
      <c r="D78" s="20" t="s">
        <v>542</v>
      </c>
      <c r="E78" s="30">
        <f t="shared" ref="E78:E91" si="1">+M296</f>
        <v>0</v>
      </c>
      <c r="F78" s="69" t="s">
        <v>63</v>
      </c>
      <c r="G78" s="69" t="s">
        <v>62</v>
      </c>
      <c r="H78" s="69" t="s">
        <v>64</v>
      </c>
      <c r="I78" s="7"/>
    </row>
    <row r="79" spans="4:18">
      <c r="D79" s="20" t="s">
        <v>572</v>
      </c>
      <c r="E79" s="30">
        <f t="shared" si="1"/>
        <v>0</v>
      </c>
      <c r="F79" s="69" t="s">
        <v>66</v>
      </c>
      <c r="G79" s="69" t="s">
        <v>65</v>
      </c>
      <c r="H79" s="69" t="s">
        <v>560</v>
      </c>
      <c r="I79" s="7"/>
    </row>
    <row r="80" spans="4:18">
      <c r="D80" s="20" t="s">
        <v>543</v>
      </c>
      <c r="E80" s="30">
        <f t="shared" si="1"/>
        <v>0</v>
      </c>
      <c r="F80" s="69" t="s">
        <v>68</v>
      </c>
      <c r="G80" s="69" t="s">
        <v>67</v>
      </c>
      <c r="H80" s="69" t="s">
        <v>561</v>
      </c>
      <c r="I80" s="7"/>
    </row>
    <row r="81" spans="4:13" ht="31">
      <c r="D81" s="20" t="s">
        <v>545</v>
      </c>
      <c r="E81" s="30">
        <f t="shared" si="1"/>
        <v>0</v>
      </c>
      <c r="F81" s="69" t="s">
        <v>70</v>
      </c>
      <c r="G81" s="69" t="s">
        <v>69</v>
      </c>
      <c r="H81" s="69" t="s">
        <v>71</v>
      </c>
      <c r="I81" s="7"/>
    </row>
    <row r="82" spans="4:13" ht="31">
      <c r="D82" s="20" t="s">
        <v>546</v>
      </c>
      <c r="E82" s="30">
        <f t="shared" si="1"/>
        <v>0</v>
      </c>
      <c r="F82" s="69" t="s">
        <v>73</v>
      </c>
      <c r="G82" s="69" t="s">
        <v>72</v>
      </c>
      <c r="H82" s="69" t="s">
        <v>74</v>
      </c>
      <c r="I82" s="7"/>
    </row>
    <row r="83" spans="4:13">
      <c r="D83" s="20" t="s">
        <v>544</v>
      </c>
      <c r="E83" s="30">
        <f t="shared" si="1"/>
        <v>0</v>
      </c>
      <c r="F83" s="69" t="s">
        <v>76</v>
      </c>
      <c r="G83" s="69" t="s">
        <v>75</v>
      </c>
      <c r="H83" s="69" t="s">
        <v>562</v>
      </c>
      <c r="I83" s="7"/>
    </row>
    <row r="84" spans="4:13">
      <c r="D84" s="20" t="s">
        <v>547</v>
      </c>
      <c r="E84" s="30">
        <f t="shared" si="1"/>
        <v>0</v>
      </c>
      <c r="F84" s="69" t="s">
        <v>78</v>
      </c>
      <c r="G84" s="69" t="s">
        <v>77</v>
      </c>
      <c r="H84" s="69" t="s">
        <v>563</v>
      </c>
      <c r="I84" s="7"/>
    </row>
    <row r="85" spans="4:13">
      <c r="D85" s="20" t="s">
        <v>548</v>
      </c>
      <c r="E85" s="30">
        <f t="shared" si="1"/>
        <v>0</v>
      </c>
      <c r="F85" s="69" t="s">
        <v>80</v>
      </c>
      <c r="G85" s="69" t="s">
        <v>79</v>
      </c>
      <c r="H85" s="69" t="s">
        <v>564</v>
      </c>
      <c r="I85" s="7"/>
    </row>
    <row r="86" spans="4:13">
      <c r="D86" s="20" t="s">
        <v>550</v>
      </c>
      <c r="E86" s="30">
        <f t="shared" si="1"/>
        <v>0</v>
      </c>
      <c r="F86" s="69" t="s">
        <v>82</v>
      </c>
      <c r="G86" s="69" t="s">
        <v>81</v>
      </c>
      <c r="H86" s="69" t="s">
        <v>565</v>
      </c>
      <c r="I86" s="7"/>
    </row>
    <row r="87" spans="4:13">
      <c r="D87" s="20" t="s">
        <v>551</v>
      </c>
      <c r="E87" s="30">
        <f t="shared" si="1"/>
        <v>0</v>
      </c>
      <c r="F87" s="69" t="s">
        <v>84</v>
      </c>
      <c r="G87" s="69" t="s">
        <v>83</v>
      </c>
      <c r="H87" s="69" t="s">
        <v>566</v>
      </c>
      <c r="I87" s="7"/>
    </row>
    <row r="88" spans="4:13">
      <c r="D88" s="20" t="s">
        <v>549</v>
      </c>
      <c r="E88" s="30">
        <f t="shared" si="1"/>
        <v>0</v>
      </c>
      <c r="F88" s="69" t="s">
        <v>86</v>
      </c>
      <c r="G88" s="69" t="s">
        <v>85</v>
      </c>
      <c r="H88" s="69" t="s">
        <v>567</v>
      </c>
      <c r="I88" s="7"/>
    </row>
    <row r="89" spans="4:13">
      <c r="D89" s="20" t="s">
        <v>573</v>
      </c>
      <c r="E89" s="30">
        <f t="shared" si="1"/>
        <v>0</v>
      </c>
      <c r="F89" s="69" t="s">
        <v>88</v>
      </c>
      <c r="G89" s="69" t="s">
        <v>87</v>
      </c>
      <c r="H89" s="69" t="s">
        <v>568</v>
      </c>
      <c r="I89" s="7"/>
    </row>
    <row r="90" spans="4:13">
      <c r="D90" s="20" t="s">
        <v>552</v>
      </c>
      <c r="E90" s="30">
        <f t="shared" si="1"/>
        <v>0</v>
      </c>
      <c r="F90" s="69" t="s">
        <v>90</v>
      </c>
      <c r="G90" s="69" t="s">
        <v>89</v>
      </c>
      <c r="H90" s="69" t="s">
        <v>569</v>
      </c>
      <c r="I90" s="7"/>
    </row>
    <row r="91" spans="4:13">
      <c r="D91" s="20" t="s">
        <v>553</v>
      </c>
      <c r="E91" s="30">
        <f t="shared" si="1"/>
        <v>124324</v>
      </c>
      <c r="F91" s="69" t="s">
        <v>92</v>
      </c>
      <c r="G91" s="69" t="s">
        <v>91</v>
      </c>
      <c r="H91" s="69" t="s">
        <v>570</v>
      </c>
      <c r="I91" s="7"/>
    </row>
    <row r="92" spans="4:13" ht="31">
      <c r="D92" s="20" t="s">
        <v>554</v>
      </c>
      <c r="E92" s="30">
        <f>+M310</f>
        <v>0</v>
      </c>
      <c r="F92" s="69" t="s">
        <v>91</v>
      </c>
      <c r="G92" s="69" t="s">
        <v>93</v>
      </c>
      <c r="H92" s="69" t="s">
        <v>571</v>
      </c>
      <c r="I92" s="7"/>
    </row>
    <row r="93" spans="4:13">
      <c r="D93" s="20" t="s">
        <v>555</v>
      </c>
      <c r="E93" s="30">
        <f>+E102</f>
        <v>0</v>
      </c>
      <c r="F93" s="69" t="s">
        <v>95</v>
      </c>
      <c r="G93" s="69" t="s">
        <v>94</v>
      </c>
      <c r="H93" s="69" t="s">
        <v>96</v>
      </c>
      <c r="I93" s="7"/>
    </row>
    <row r="94" spans="4:13" ht="31">
      <c r="D94" s="20" t="s">
        <v>556</v>
      </c>
      <c r="E94" s="30">
        <f>+E101</f>
        <v>0</v>
      </c>
      <c r="F94" s="69" t="s">
        <v>98</v>
      </c>
      <c r="G94" s="69" t="s">
        <v>97</v>
      </c>
      <c r="H94" s="69" t="s">
        <v>99</v>
      </c>
      <c r="I94" s="7"/>
    </row>
    <row r="95" spans="4:13" ht="16" thickBot="1">
      <c r="D95" s="39" t="s">
        <v>100</v>
      </c>
      <c r="E95" s="77">
        <f>E73+SUM(E75:E94)</f>
        <v>3582188</v>
      </c>
      <c r="F95" s="69"/>
      <c r="G95" s="69" t="s">
        <v>14</v>
      </c>
      <c r="H95" s="69"/>
      <c r="I95" s="7"/>
      <c r="K95" s="78"/>
      <c r="L95" s="68"/>
      <c r="M95" s="32"/>
    </row>
    <row r="96" spans="4:13">
      <c r="D96" s="15"/>
      <c r="E96" s="79"/>
      <c r="F96" s="7"/>
      <c r="G96" s="56"/>
      <c r="H96" s="7"/>
      <c r="I96" s="7"/>
    </row>
    <row r="97" spans="4:11" ht="16" thickBot="1">
      <c r="D97" s="15"/>
      <c r="E97" s="79"/>
      <c r="F97" s="7"/>
      <c r="G97" s="56"/>
      <c r="H97" s="7"/>
      <c r="I97" s="7"/>
    </row>
    <row r="98" spans="4:11">
      <c r="D98" s="311" t="s">
        <v>574</v>
      </c>
      <c r="E98" s="312" t="s">
        <v>102</v>
      </c>
      <c r="F98" s="69" t="s">
        <v>101</v>
      </c>
      <c r="G98" s="69"/>
      <c r="H98" s="355" t="s">
        <v>103</v>
      </c>
      <c r="I98" s="355"/>
      <c r="J98" s="355"/>
      <c r="K98" s="355"/>
    </row>
    <row r="99" spans="4:11" ht="24.75" customHeight="1">
      <c r="D99" s="43" t="s">
        <v>575</v>
      </c>
      <c r="E99" s="41">
        <v>0</v>
      </c>
      <c r="F99" s="69" t="s">
        <v>104</v>
      </c>
      <c r="G99" s="69" t="s">
        <v>105</v>
      </c>
      <c r="H99" s="355"/>
      <c r="I99" s="355"/>
      <c r="J99" s="355"/>
      <c r="K99" s="355"/>
    </row>
    <row r="100" spans="4:11" ht="27" customHeight="1">
      <c r="D100" s="43" t="s">
        <v>576</v>
      </c>
      <c r="E100" s="41">
        <v>0</v>
      </c>
      <c r="F100" s="69" t="s">
        <v>95</v>
      </c>
      <c r="G100" s="69" t="s">
        <v>106</v>
      </c>
      <c r="H100" s="355"/>
      <c r="I100" s="355"/>
      <c r="J100" s="355"/>
      <c r="K100" s="355"/>
    </row>
    <row r="101" spans="4:11" ht="24.75" customHeight="1">
      <c r="D101" s="43" t="s">
        <v>577</v>
      </c>
      <c r="E101" s="41">
        <v>0</v>
      </c>
      <c r="F101" s="69" t="s">
        <v>98</v>
      </c>
      <c r="G101" s="69" t="s">
        <v>107</v>
      </c>
      <c r="H101" s="355"/>
      <c r="I101" s="355"/>
      <c r="J101" s="355"/>
      <c r="K101" s="355"/>
    </row>
    <row r="102" spans="4:11" ht="19.5" customHeight="1" thickBot="1">
      <c r="D102" s="44" t="s">
        <v>578</v>
      </c>
      <c r="E102" s="124">
        <f>+E99+E100+E101</f>
        <v>0</v>
      </c>
      <c r="F102" s="69" t="s">
        <v>108</v>
      </c>
      <c r="G102" s="69" t="s">
        <v>109</v>
      </c>
      <c r="H102" s="355"/>
      <c r="I102" s="355"/>
      <c r="J102" s="355"/>
      <c r="K102" s="355"/>
    </row>
    <row r="103" spans="4:11" ht="12.75" customHeight="1">
      <c r="D103" s="5"/>
      <c r="E103" s="6"/>
      <c r="F103" s="7"/>
      <c r="G103" s="7"/>
      <c r="H103" s="7"/>
      <c r="I103" s="7"/>
    </row>
    <row r="104" spans="4:11" ht="12.75" customHeight="1" thickBot="1">
      <c r="D104" s="5"/>
      <c r="E104" s="6"/>
      <c r="F104" s="5"/>
      <c r="G104" s="7"/>
      <c r="H104" s="7"/>
      <c r="I104" s="7"/>
    </row>
    <row r="105" spans="4:11">
      <c r="D105" s="320" t="s">
        <v>579</v>
      </c>
      <c r="E105" s="321"/>
      <c r="F105" s="322"/>
      <c r="G105" s="7"/>
      <c r="H105" s="7"/>
      <c r="I105" s="7"/>
    </row>
    <row r="106" spans="4:11" ht="49.5" customHeight="1">
      <c r="D106" s="24" t="s">
        <v>111</v>
      </c>
      <c r="E106" s="1" t="s">
        <v>112</v>
      </c>
      <c r="F106" s="46" t="s">
        <v>113</v>
      </c>
      <c r="G106" s="299" t="s">
        <v>110</v>
      </c>
      <c r="H106" s="7"/>
      <c r="I106" s="7"/>
    </row>
    <row r="107" spans="4:11" ht="12.75" customHeight="1">
      <c r="D107" s="121" t="s">
        <v>646</v>
      </c>
      <c r="E107" s="122" t="s">
        <v>647</v>
      </c>
      <c r="F107" s="123">
        <v>0</v>
      </c>
      <c r="G107" s="299"/>
      <c r="H107" s="7"/>
      <c r="I107" s="7"/>
    </row>
    <row r="108" spans="4:11" ht="12.75" customHeight="1">
      <c r="D108" s="121" t="s">
        <v>646</v>
      </c>
      <c r="E108" s="122" t="s">
        <v>647</v>
      </c>
      <c r="F108" s="123">
        <v>0</v>
      </c>
      <c r="G108" s="299"/>
      <c r="H108" s="7"/>
      <c r="I108" s="7"/>
    </row>
    <row r="109" spans="4:11" ht="12.75" customHeight="1" thickBot="1">
      <c r="D109" s="323" t="s">
        <v>114</v>
      </c>
      <c r="E109" s="324"/>
      <c r="F109" s="47">
        <f>+F107+F108</f>
        <v>0</v>
      </c>
      <c r="G109" s="299"/>
      <c r="H109" s="7"/>
      <c r="I109" s="7"/>
    </row>
    <row r="110" spans="4:11">
      <c r="D110" s="7"/>
      <c r="E110" s="7"/>
      <c r="F110" s="7"/>
      <c r="G110" s="7"/>
      <c r="H110" s="7"/>
      <c r="I110" s="7"/>
    </row>
    <row r="111" spans="4:11" ht="16" thickBot="1">
      <c r="D111" s="7"/>
      <c r="E111" s="7"/>
      <c r="F111" s="7"/>
      <c r="G111" s="7"/>
      <c r="H111" s="7"/>
      <c r="I111" s="7"/>
    </row>
    <row r="112" spans="4:11" ht="20.5" thickBot="1">
      <c r="D112" s="309" t="s">
        <v>115</v>
      </c>
      <c r="E112" s="310" t="s">
        <v>1</v>
      </c>
      <c r="F112" s="2"/>
      <c r="G112" s="2"/>
      <c r="H112" s="16"/>
      <c r="I112" s="7"/>
      <c r="K112" s="17"/>
    </row>
    <row r="113" spans="4:12" ht="16" thickBot="1">
      <c r="D113" s="311" t="s">
        <v>580</v>
      </c>
      <c r="E113" s="312"/>
      <c r="F113" s="33"/>
      <c r="G113" s="33"/>
      <c r="H113" s="7"/>
      <c r="I113" s="7"/>
    </row>
    <row r="114" spans="4:12" ht="16" thickBot="1">
      <c r="D114" s="296" t="s">
        <v>116</v>
      </c>
      <c r="E114" s="297"/>
      <c r="F114" s="298"/>
      <c r="G114" s="2"/>
      <c r="H114" s="7"/>
      <c r="I114" s="7"/>
    </row>
    <row r="115" spans="4:12">
      <c r="D115" s="49" t="s">
        <v>582</v>
      </c>
      <c r="E115" s="356" t="s">
        <v>581</v>
      </c>
      <c r="F115" s="54">
        <f>+M325</f>
        <v>124324</v>
      </c>
      <c r="G115" s="69" t="s">
        <v>117</v>
      </c>
      <c r="H115" s="69" t="s">
        <v>119</v>
      </c>
      <c r="I115" s="7"/>
    </row>
    <row r="116" spans="4:12" ht="31">
      <c r="D116" s="20" t="s">
        <v>583</v>
      </c>
      <c r="E116" s="357"/>
      <c r="F116" s="41">
        <v>0</v>
      </c>
      <c r="G116" s="69" t="s">
        <v>120</v>
      </c>
      <c r="H116" s="69" t="s">
        <v>121</v>
      </c>
      <c r="I116" s="7"/>
    </row>
    <row r="117" spans="4:12">
      <c r="D117" s="20" t="s">
        <v>584</v>
      </c>
      <c r="E117" s="357"/>
      <c r="F117" s="41">
        <v>0</v>
      </c>
      <c r="G117" s="69" t="s">
        <v>122</v>
      </c>
      <c r="H117" s="69" t="s">
        <v>123</v>
      </c>
      <c r="I117" s="7"/>
    </row>
    <row r="118" spans="4:12" ht="16" thickBot="1">
      <c r="D118" s="22" t="s">
        <v>585</v>
      </c>
      <c r="E118" s="358"/>
      <c r="F118" s="53">
        <f>F115-F116+F117</f>
        <v>124324</v>
      </c>
      <c r="G118" s="69" t="s">
        <v>124</v>
      </c>
      <c r="H118" s="69" t="s">
        <v>125</v>
      </c>
      <c r="I118" s="7"/>
    </row>
    <row r="119" spans="4:12" ht="16" thickBot="1">
      <c r="D119" s="313" t="s">
        <v>586</v>
      </c>
      <c r="E119" s="314"/>
      <c r="F119" s="80">
        <f>+E144</f>
        <v>0</v>
      </c>
      <c r="G119" s="69" t="s">
        <v>126</v>
      </c>
      <c r="H119" s="69" t="s">
        <v>127</v>
      </c>
      <c r="I119" s="7"/>
    </row>
    <row r="120" spans="4:12">
      <c r="D120" s="50" t="s">
        <v>587</v>
      </c>
      <c r="E120" s="317" t="s">
        <v>591</v>
      </c>
      <c r="F120" s="54">
        <f>+F119+F118</f>
        <v>124324</v>
      </c>
      <c r="G120" s="69" t="s">
        <v>128</v>
      </c>
      <c r="H120" s="69" t="s">
        <v>129</v>
      </c>
      <c r="I120" s="7"/>
    </row>
    <row r="121" spans="4:12">
      <c r="D121" s="20" t="s">
        <v>588</v>
      </c>
      <c r="E121" s="318"/>
      <c r="F121" s="52">
        <f>+M344</f>
        <v>0</v>
      </c>
      <c r="G121" s="69" t="s">
        <v>130</v>
      </c>
      <c r="H121" s="69" t="s">
        <v>131</v>
      </c>
      <c r="I121" s="7"/>
      <c r="K121" s="34"/>
    </row>
    <row r="122" spans="4:12" ht="31.5" thickBot="1">
      <c r="D122" s="22" t="s">
        <v>589</v>
      </c>
      <c r="E122" s="319"/>
      <c r="F122" s="52">
        <f>+M345</f>
        <v>0</v>
      </c>
      <c r="G122" s="69" t="s">
        <v>132</v>
      </c>
      <c r="H122" s="69" t="s">
        <v>133</v>
      </c>
      <c r="I122" s="7"/>
      <c r="K122" s="34"/>
    </row>
    <row r="123" spans="4:12" ht="16" thickBot="1">
      <c r="D123" s="315" t="s">
        <v>590</v>
      </c>
      <c r="E123" s="316"/>
      <c r="F123" s="81">
        <f>+F120+F121-F122</f>
        <v>124324</v>
      </c>
      <c r="G123" s="69" t="s">
        <v>134</v>
      </c>
      <c r="H123" s="69" t="s">
        <v>135</v>
      </c>
      <c r="I123" s="7"/>
      <c r="K123" s="82"/>
      <c r="L123" s="83"/>
    </row>
    <row r="124" spans="4:12">
      <c r="D124" s="2"/>
      <c r="E124" s="2"/>
      <c r="F124" s="2"/>
      <c r="G124" s="2"/>
      <c r="H124" s="7"/>
      <c r="I124" s="7"/>
      <c r="K124" s="84"/>
      <c r="L124" s="84"/>
    </row>
    <row r="125" spans="4:12" ht="16" thickBot="1">
      <c r="D125" s="2"/>
      <c r="E125" s="2"/>
      <c r="F125" s="2"/>
      <c r="G125" s="2"/>
      <c r="H125" s="7"/>
      <c r="I125" s="7"/>
    </row>
    <row r="126" spans="4:12">
      <c r="D126" s="311" t="s">
        <v>136</v>
      </c>
      <c r="E126" s="312"/>
      <c r="F126" s="2"/>
      <c r="G126" s="2"/>
      <c r="H126" s="56"/>
      <c r="I126" s="56"/>
    </row>
    <row r="127" spans="4:12">
      <c r="D127" s="55" t="s">
        <v>139</v>
      </c>
      <c r="E127" s="76" t="s">
        <v>140</v>
      </c>
      <c r="F127" s="69" t="s">
        <v>137</v>
      </c>
      <c r="G127" s="69" t="s">
        <v>138</v>
      </c>
      <c r="H127" s="56"/>
      <c r="I127" s="56"/>
    </row>
    <row r="128" spans="4:12">
      <c r="D128" s="55" t="s">
        <v>592</v>
      </c>
      <c r="E128" s="28">
        <f>+M327</f>
        <v>0</v>
      </c>
      <c r="F128" s="69" t="s">
        <v>141</v>
      </c>
      <c r="G128" s="69" t="s">
        <v>609</v>
      </c>
      <c r="H128" s="71"/>
    </row>
    <row r="129" spans="4:14">
      <c r="D129" s="55" t="s">
        <v>604</v>
      </c>
      <c r="E129" s="28">
        <f t="shared" ref="E129:E143" si="2">+M328</f>
        <v>0</v>
      </c>
      <c r="F129" s="69" t="s">
        <v>142</v>
      </c>
      <c r="G129" s="69" t="s">
        <v>610</v>
      </c>
      <c r="H129" s="71"/>
      <c r="I129" s="9"/>
    </row>
    <row r="130" spans="4:14">
      <c r="D130" s="55" t="s">
        <v>605</v>
      </c>
      <c r="E130" s="28">
        <f t="shared" si="2"/>
        <v>0</v>
      </c>
      <c r="F130" s="69" t="s">
        <v>143</v>
      </c>
      <c r="G130" s="69" t="s">
        <v>611</v>
      </c>
      <c r="H130" s="71"/>
      <c r="I130" s="85"/>
      <c r="J130" s="85"/>
    </row>
    <row r="131" spans="4:14">
      <c r="D131" s="55" t="s">
        <v>593</v>
      </c>
      <c r="E131" s="28">
        <f t="shared" si="2"/>
        <v>0</v>
      </c>
      <c r="F131" s="69" t="s">
        <v>144</v>
      </c>
      <c r="G131" s="69" t="s">
        <v>612</v>
      </c>
      <c r="H131" s="56"/>
      <c r="I131" s="56"/>
      <c r="J131" s="56"/>
      <c r="K131" s="56"/>
      <c r="L131" s="56"/>
      <c r="M131" s="56"/>
      <c r="N131" s="56"/>
    </row>
    <row r="132" spans="4:14">
      <c r="D132" s="55" t="s">
        <v>594</v>
      </c>
      <c r="E132" s="28">
        <f t="shared" si="2"/>
        <v>0</v>
      </c>
      <c r="F132" s="69" t="s">
        <v>145</v>
      </c>
      <c r="G132" s="69" t="s">
        <v>613</v>
      </c>
      <c r="H132" s="86"/>
      <c r="I132" s="56"/>
      <c r="J132" s="56"/>
      <c r="K132" s="56"/>
      <c r="L132" s="56"/>
      <c r="M132" s="56"/>
      <c r="N132" s="56"/>
    </row>
    <row r="133" spans="4:14">
      <c r="D133" s="55" t="s">
        <v>595</v>
      </c>
      <c r="E133" s="28">
        <f t="shared" si="2"/>
        <v>0</v>
      </c>
      <c r="F133" s="69" t="s">
        <v>146</v>
      </c>
      <c r="G133" s="69" t="s">
        <v>147</v>
      </c>
      <c r="H133" s="56"/>
      <c r="I133" s="56"/>
      <c r="J133" s="56"/>
      <c r="K133" s="56"/>
      <c r="L133" s="56"/>
      <c r="M133" s="56"/>
      <c r="N133" s="56"/>
    </row>
    <row r="134" spans="4:14">
      <c r="D134" s="55" t="s">
        <v>596</v>
      </c>
      <c r="E134" s="28">
        <f t="shared" si="2"/>
        <v>0</v>
      </c>
      <c r="F134" s="69" t="s">
        <v>148</v>
      </c>
      <c r="G134" s="69" t="s">
        <v>149</v>
      </c>
      <c r="H134" s="56"/>
      <c r="I134" s="56"/>
      <c r="J134" s="56"/>
      <c r="K134" s="56"/>
      <c r="L134" s="56"/>
      <c r="M134" s="56"/>
      <c r="N134" s="56"/>
    </row>
    <row r="135" spans="4:14">
      <c r="D135" s="55" t="s">
        <v>597</v>
      </c>
      <c r="E135" s="28">
        <f t="shared" si="2"/>
        <v>0</v>
      </c>
      <c r="F135" s="69" t="s">
        <v>150</v>
      </c>
      <c r="G135" s="69" t="s">
        <v>615</v>
      </c>
      <c r="H135" s="56"/>
      <c r="I135" s="56"/>
      <c r="J135" s="56"/>
      <c r="K135" s="56"/>
      <c r="L135" s="56"/>
      <c r="M135" s="56"/>
      <c r="N135" s="56"/>
    </row>
    <row r="136" spans="4:14">
      <c r="D136" s="55" t="s">
        <v>598</v>
      </c>
      <c r="E136" s="28">
        <f t="shared" si="2"/>
        <v>0</v>
      </c>
      <c r="F136" s="69" t="s">
        <v>151</v>
      </c>
      <c r="G136" s="69" t="s">
        <v>616</v>
      </c>
      <c r="H136" s="87"/>
      <c r="I136" s="56"/>
      <c r="J136" s="56"/>
      <c r="K136" s="56"/>
      <c r="L136" s="7"/>
      <c r="M136" s="7"/>
      <c r="N136" s="7"/>
    </row>
    <row r="137" spans="4:14">
      <c r="D137" s="55" t="s">
        <v>599</v>
      </c>
      <c r="E137" s="28">
        <f t="shared" si="2"/>
        <v>0</v>
      </c>
      <c r="F137" s="69" t="s">
        <v>152</v>
      </c>
      <c r="G137" s="69" t="s">
        <v>617</v>
      </c>
      <c r="H137" s="56"/>
      <c r="I137" s="56"/>
      <c r="J137" s="56"/>
      <c r="K137" s="56"/>
      <c r="L137" s="7"/>
      <c r="M137" s="7"/>
      <c r="N137" s="7"/>
    </row>
    <row r="138" spans="4:14">
      <c r="D138" s="55" t="s">
        <v>606</v>
      </c>
      <c r="E138" s="28">
        <f t="shared" si="2"/>
        <v>0</v>
      </c>
      <c r="F138" s="69" t="s">
        <v>153</v>
      </c>
      <c r="G138" s="69" t="s">
        <v>618</v>
      </c>
      <c r="H138" s="35"/>
      <c r="I138" s="88"/>
      <c r="J138" s="7"/>
      <c r="K138" s="7"/>
      <c r="L138" s="7"/>
      <c r="M138" s="7"/>
      <c r="N138" s="7"/>
    </row>
    <row r="139" spans="4:14">
      <c r="D139" s="55" t="s">
        <v>607</v>
      </c>
      <c r="E139" s="28">
        <f t="shared" si="2"/>
        <v>0</v>
      </c>
      <c r="F139" s="69" t="s">
        <v>154</v>
      </c>
      <c r="G139" s="69" t="s">
        <v>619</v>
      </c>
      <c r="H139" s="35"/>
      <c r="I139" s="7"/>
      <c r="J139" s="7"/>
      <c r="K139" s="7"/>
      <c r="L139" s="7"/>
      <c r="M139" s="7"/>
      <c r="N139" s="7"/>
    </row>
    <row r="140" spans="4:14">
      <c r="D140" s="55" t="s">
        <v>600</v>
      </c>
      <c r="E140" s="28">
        <f t="shared" si="2"/>
        <v>0</v>
      </c>
      <c r="F140" s="69" t="s">
        <v>155</v>
      </c>
      <c r="G140" s="69" t="s">
        <v>620</v>
      </c>
      <c r="H140" s="36"/>
      <c r="I140" s="7"/>
      <c r="J140" s="7"/>
      <c r="K140" s="7"/>
      <c r="L140" s="7"/>
      <c r="M140" s="7"/>
      <c r="N140" s="7"/>
    </row>
    <row r="141" spans="4:14">
      <c r="D141" s="55" t="s">
        <v>601</v>
      </c>
      <c r="E141" s="28">
        <f t="shared" si="2"/>
        <v>0</v>
      </c>
      <c r="F141" s="69" t="s">
        <v>156</v>
      </c>
      <c r="G141" s="69" t="s">
        <v>614</v>
      </c>
      <c r="H141" s="89"/>
      <c r="I141" s="7"/>
      <c r="J141" s="7"/>
      <c r="K141" s="7"/>
      <c r="L141" s="7"/>
      <c r="M141" s="7"/>
      <c r="N141" s="7"/>
    </row>
    <row r="142" spans="4:14">
      <c r="D142" s="55" t="s">
        <v>602</v>
      </c>
      <c r="E142" s="28">
        <f t="shared" si="2"/>
        <v>0</v>
      </c>
      <c r="F142" s="69" t="s">
        <v>157</v>
      </c>
      <c r="G142" s="69" t="s">
        <v>621</v>
      </c>
      <c r="H142" s="89"/>
      <c r="I142" s="7"/>
      <c r="J142" s="7"/>
      <c r="K142" s="7"/>
      <c r="L142" s="7"/>
      <c r="M142" s="7"/>
      <c r="N142" s="7"/>
    </row>
    <row r="143" spans="4:14">
      <c r="D143" s="55" t="s">
        <v>603</v>
      </c>
      <c r="E143" s="28">
        <f t="shared" si="2"/>
        <v>0</v>
      </c>
      <c r="F143" s="69" t="s">
        <v>159</v>
      </c>
      <c r="G143" s="69" t="s">
        <v>158</v>
      </c>
      <c r="H143" s="71"/>
      <c r="I143" s="7"/>
      <c r="J143" s="7"/>
      <c r="K143" s="7"/>
      <c r="L143" s="7"/>
      <c r="M143" s="7"/>
      <c r="N143" s="7"/>
    </row>
    <row r="144" spans="4:14" ht="16" thickBot="1">
      <c r="D144" s="39" t="s">
        <v>608</v>
      </c>
      <c r="E144" s="90">
        <f>SUM(E128:E143)</f>
        <v>0</v>
      </c>
      <c r="F144" s="69" t="s">
        <v>126</v>
      </c>
      <c r="G144" s="69" t="s">
        <v>160</v>
      </c>
      <c r="I144" s="7"/>
      <c r="J144" s="7"/>
      <c r="K144" s="91"/>
      <c r="L144" s="83"/>
      <c r="M144" s="7"/>
      <c r="N144" s="7"/>
    </row>
    <row r="145" spans="4:14">
      <c r="D145" s="4"/>
      <c r="E145" s="4"/>
      <c r="F145" s="4"/>
      <c r="G145" s="7"/>
      <c r="H145" s="7"/>
      <c r="I145" s="7"/>
      <c r="J145" s="7"/>
      <c r="K145" s="7"/>
      <c r="L145" s="7"/>
      <c r="M145" s="7"/>
      <c r="N145" s="7"/>
    </row>
    <row r="146" spans="4:14" ht="16" thickBot="1">
      <c r="D146" s="4"/>
      <c r="E146" s="4"/>
      <c r="F146" s="4"/>
      <c r="G146" s="7"/>
      <c r="H146" s="7"/>
      <c r="I146" s="7"/>
      <c r="J146" s="7"/>
      <c r="K146" s="7"/>
      <c r="L146" s="7"/>
      <c r="M146" s="7"/>
      <c r="N146" s="7"/>
    </row>
    <row r="147" spans="4:14" ht="16" thickBot="1">
      <c r="D147" s="296" t="s">
        <v>161</v>
      </c>
      <c r="E147" s="360" t="s">
        <v>102</v>
      </c>
      <c r="F147" s="312"/>
      <c r="G147" s="7"/>
      <c r="H147" s="343" t="s">
        <v>162</v>
      </c>
      <c r="I147" s="343"/>
      <c r="J147" s="343"/>
      <c r="K147" s="343"/>
      <c r="L147" s="343"/>
      <c r="M147" s="343"/>
      <c r="N147" s="7"/>
    </row>
    <row r="148" spans="4:14" ht="31">
      <c r="D148" s="93"/>
      <c r="E148" s="1" t="s">
        <v>622</v>
      </c>
      <c r="F148" s="46" t="s">
        <v>623</v>
      </c>
      <c r="G148" s="359" t="s">
        <v>163</v>
      </c>
      <c r="H148" s="343"/>
      <c r="I148" s="343"/>
      <c r="J148" s="343"/>
      <c r="K148" s="343"/>
      <c r="L148" s="343"/>
      <c r="M148" s="343"/>
      <c r="N148" s="7"/>
    </row>
    <row r="149" spans="4:14">
      <c r="D149" s="43" t="s">
        <v>164</v>
      </c>
      <c r="E149" s="42">
        <v>0</v>
      </c>
      <c r="F149" s="41">
        <v>0</v>
      </c>
      <c r="G149" s="359"/>
      <c r="H149" s="343"/>
      <c r="I149" s="343"/>
      <c r="J149" s="343"/>
      <c r="K149" s="343"/>
      <c r="L149" s="343"/>
      <c r="M149" s="343"/>
      <c r="N149" s="7"/>
    </row>
    <row r="150" spans="4:14">
      <c r="D150" s="43" t="s">
        <v>165</v>
      </c>
      <c r="E150" s="42">
        <v>0</v>
      </c>
      <c r="F150" s="41">
        <v>0</v>
      </c>
      <c r="G150" s="359"/>
      <c r="H150" s="343"/>
      <c r="I150" s="343"/>
      <c r="J150" s="343"/>
      <c r="K150" s="343"/>
      <c r="L150" s="343"/>
      <c r="M150" s="343"/>
      <c r="N150" s="7"/>
    </row>
    <row r="151" spans="4:14" ht="32" customHeight="1" thickBot="1">
      <c r="D151" s="44" t="s">
        <v>166</v>
      </c>
      <c r="E151" s="94">
        <f>+E149+E150</f>
        <v>0</v>
      </c>
      <c r="F151" s="95">
        <f>+F149+F150</f>
        <v>0</v>
      </c>
      <c r="G151" s="359"/>
      <c r="H151" s="343"/>
      <c r="I151" s="343"/>
      <c r="J151" s="343"/>
      <c r="K151" s="343"/>
      <c r="L151" s="343"/>
      <c r="M151" s="343"/>
      <c r="N151" s="7"/>
    </row>
    <row r="152" spans="4:14">
      <c r="D152" s="5"/>
      <c r="E152" s="5"/>
      <c r="F152" s="5"/>
      <c r="G152" s="7"/>
      <c r="H152" s="7"/>
      <c r="I152" s="7"/>
      <c r="J152" s="7"/>
      <c r="K152" s="56"/>
      <c r="L152" s="56"/>
      <c r="M152" s="56"/>
      <c r="N152" s="56"/>
    </row>
    <row r="153" spans="4:14" ht="16" thickBot="1">
      <c r="D153" s="5"/>
      <c r="E153" s="5"/>
      <c r="F153" s="5"/>
      <c r="G153" s="7"/>
      <c r="H153" s="7"/>
      <c r="I153" s="7"/>
      <c r="J153" s="7"/>
      <c r="K153" s="56"/>
      <c r="L153" s="56"/>
      <c r="M153" s="56"/>
      <c r="N153" s="56"/>
    </row>
    <row r="154" spans="4:14" ht="16" thickBot="1">
      <c r="D154" s="311" t="s">
        <v>167</v>
      </c>
      <c r="E154" s="312" t="s">
        <v>102</v>
      </c>
      <c r="F154" s="56"/>
      <c r="G154" s="7"/>
      <c r="H154" s="7"/>
      <c r="I154" s="7"/>
      <c r="J154" s="7"/>
      <c r="K154" s="56"/>
      <c r="L154" s="56"/>
      <c r="M154" s="56"/>
      <c r="N154" s="56"/>
    </row>
    <row r="155" spans="4:14">
      <c r="D155" s="311" t="s">
        <v>168</v>
      </c>
      <c r="E155" s="312"/>
      <c r="F155" s="56"/>
      <c r="G155" s="56"/>
      <c r="H155" s="56"/>
      <c r="I155" s="56"/>
      <c r="J155" s="56"/>
      <c r="K155" s="56"/>
      <c r="L155" s="56"/>
      <c r="M155" s="56"/>
      <c r="N155" s="56"/>
    </row>
    <row r="156" spans="4:14">
      <c r="D156" s="96" t="s">
        <v>170</v>
      </c>
      <c r="E156" s="41">
        <v>0</v>
      </c>
      <c r="F156" s="56"/>
      <c r="G156" s="69" t="s">
        <v>169</v>
      </c>
      <c r="H156" s="56"/>
      <c r="I156" s="56"/>
      <c r="J156" s="56"/>
      <c r="K156" s="56"/>
      <c r="L156" s="56"/>
      <c r="M156" s="56"/>
      <c r="N156" s="56"/>
    </row>
    <row r="157" spans="4:14" ht="31">
      <c r="D157" s="97" t="s">
        <v>172</v>
      </c>
      <c r="E157" s="41">
        <v>0</v>
      </c>
      <c r="F157" s="56"/>
      <c r="G157" s="69" t="s">
        <v>171</v>
      </c>
      <c r="H157" s="56"/>
      <c r="I157" s="56"/>
      <c r="J157" s="56"/>
      <c r="K157" s="56"/>
      <c r="L157" s="56"/>
      <c r="M157" s="56"/>
      <c r="N157" s="56"/>
    </row>
    <row r="158" spans="4:14" ht="16" thickBot="1">
      <c r="D158" s="98" t="s">
        <v>174</v>
      </c>
      <c r="E158" s="99">
        <v>0</v>
      </c>
      <c r="F158" s="69" t="s">
        <v>151</v>
      </c>
      <c r="G158" s="69" t="s">
        <v>173</v>
      </c>
      <c r="H158" s="56"/>
      <c r="I158" s="56"/>
      <c r="J158" s="56"/>
      <c r="K158" s="56"/>
      <c r="L158" s="56"/>
      <c r="M158" s="56"/>
      <c r="N158" s="56"/>
    </row>
    <row r="159" spans="4:14" ht="16" thickBot="1">
      <c r="D159" s="56"/>
      <c r="E159" s="56"/>
      <c r="F159" s="56"/>
      <c r="G159" s="56"/>
      <c r="H159" s="56"/>
      <c r="I159" s="56"/>
      <c r="J159" s="56"/>
      <c r="K159" s="56"/>
      <c r="L159" s="56"/>
      <c r="M159" s="56"/>
      <c r="N159" s="56"/>
    </row>
    <row r="160" spans="4:14" ht="16" thickBot="1">
      <c r="D160" s="296" t="s">
        <v>175</v>
      </c>
      <c r="E160" s="297"/>
      <c r="F160" s="298"/>
      <c r="G160" s="56"/>
      <c r="H160" s="56"/>
      <c r="I160" s="56"/>
      <c r="J160" s="56"/>
      <c r="K160" s="56"/>
      <c r="L160" s="56"/>
      <c r="M160" s="56"/>
      <c r="N160" s="56"/>
    </row>
    <row r="161" spans="1:14">
      <c r="A161" s="258"/>
      <c r="D161" s="103"/>
      <c r="E161" s="104" t="s">
        <v>177</v>
      </c>
      <c r="F161" s="105" t="s">
        <v>178</v>
      </c>
      <c r="G161" s="69" t="s">
        <v>176</v>
      </c>
      <c r="H161" s="56"/>
      <c r="I161" s="56"/>
      <c r="J161" s="56"/>
      <c r="K161" s="56"/>
      <c r="L161" s="56"/>
      <c r="M161" s="56"/>
      <c r="N161" s="56"/>
    </row>
    <row r="162" spans="1:14">
      <c r="A162" s="259" t="s">
        <v>661</v>
      </c>
      <c r="D162" s="100" t="s">
        <v>180</v>
      </c>
      <c r="E162" s="129" t="s">
        <v>3</v>
      </c>
      <c r="F162" s="130" t="s">
        <v>3</v>
      </c>
      <c r="G162" s="116" t="s">
        <v>179</v>
      </c>
      <c r="H162" s="56"/>
      <c r="I162" s="56"/>
      <c r="J162" s="56"/>
      <c r="K162" s="56"/>
      <c r="L162" s="56"/>
      <c r="M162" s="56"/>
      <c r="N162" s="56"/>
    </row>
    <row r="163" spans="1:14">
      <c r="A163" s="258" t="s">
        <v>3</v>
      </c>
      <c r="D163" s="101" t="s">
        <v>182</v>
      </c>
      <c r="E163" s="129" t="s">
        <v>3</v>
      </c>
      <c r="F163" s="130" t="s">
        <v>3</v>
      </c>
      <c r="G163" s="116" t="s">
        <v>181</v>
      </c>
      <c r="H163" s="56"/>
      <c r="I163" s="56"/>
      <c r="J163" s="56"/>
      <c r="K163" s="56"/>
      <c r="L163" s="56"/>
      <c r="M163" s="56"/>
      <c r="N163" s="56"/>
    </row>
    <row r="164" spans="1:14" ht="16" thickBot="1">
      <c r="A164" s="258"/>
      <c r="D164" s="102" t="s">
        <v>184</v>
      </c>
      <c r="E164" s="131" t="s">
        <v>3</v>
      </c>
      <c r="F164" s="132" t="s">
        <v>3</v>
      </c>
      <c r="G164" s="116" t="s">
        <v>183</v>
      </c>
      <c r="H164" s="56"/>
      <c r="I164" s="56"/>
      <c r="J164" s="56"/>
      <c r="K164" s="56"/>
      <c r="L164" s="56"/>
      <c r="M164" s="56"/>
      <c r="N164" s="56"/>
    </row>
    <row r="165" spans="1:14" ht="16" thickBot="1">
      <c r="A165" s="258"/>
      <c r="D165" s="6"/>
      <c r="E165" s="56"/>
      <c r="F165" s="56"/>
      <c r="G165" s="56"/>
      <c r="H165" s="56"/>
      <c r="I165" s="56"/>
      <c r="J165" s="56"/>
      <c r="K165" s="56"/>
      <c r="L165" s="56"/>
      <c r="M165" s="7"/>
      <c r="N165" s="7"/>
    </row>
    <row r="166" spans="1:14" ht="16" thickBot="1">
      <c r="B166" s="9"/>
      <c r="D166" s="311" t="s">
        <v>185</v>
      </c>
      <c r="E166" s="312"/>
      <c r="F166" s="56"/>
      <c r="G166" s="56"/>
      <c r="H166" s="56"/>
      <c r="I166" s="56"/>
      <c r="J166" s="56"/>
      <c r="K166" s="56"/>
      <c r="L166" s="56"/>
      <c r="M166" s="7"/>
      <c r="N166" s="7"/>
    </row>
    <row r="167" spans="1:14" ht="16" thickBot="1">
      <c r="B167" s="9"/>
      <c r="D167" s="108" t="s">
        <v>626</v>
      </c>
      <c r="E167" s="109">
        <v>2024</v>
      </c>
      <c r="F167" s="69" t="s">
        <v>186</v>
      </c>
      <c r="G167" s="56"/>
      <c r="H167" s="56"/>
      <c r="I167" s="56"/>
      <c r="J167" s="56"/>
      <c r="K167" s="56"/>
      <c r="L167" s="56"/>
      <c r="M167" s="7"/>
      <c r="N167" s="7"/>
    </row>
    <row r="168" spans="1:14">
      <c r="B168" s="9"/>
      <c r="D168" s="311" t="s">
        <v>624</v>
      </c>
      <c r="E168" s="312"/>
      <c r="F168" s="7"/>
      <c r="G168" s="7"/>
      <c r="H168" s="7"/>
      <c r="I168" s="7"/>
      <c r="J168" s="7"/>
      <c r="K168" s="7"/>
      <c r="L168" s="7"/>
      <c r="M168" s="7"/>
      <c r="N168" s="7"/>
    </row>
    <row r="169" spans="1:14">
      <c r="B169" s="9"/>
      <c r="D169" s="364" t="s">
        <v>187</v>
      </c>
      <c r="E169" s="365"/>
      <c r="F169" s="7"/>
      <c r="G169" s="7"/>
      <c r="H169" s="7"/>
      <c r="I169" s="7"/>
      <c r="J169" s="7"/>
      <c r="K169" s="7"/>
      <c r="L169" s="7"/>
      <c r="M169" s="7"/>
      <c r="N169" s="7"/>
    </row>
    <row r="170" spans="1:14" ht="46.5" customHeight="1">
      <c r="B170" s="9"/>
      <c r="D170" s="43" t="s">
        <v>625</v>
      </c>
      <c r="E170" s="110" t="s">
        <v>189</v>
      </c>
      <c r="F170" s="69" t="s">
        <v>188</v>
      </c>
      <c r="G170" s="7"/>
      <c r="H170" s="7"/>
      <c r="I170" s="7"/>
      <c r="J170" s="7"/>
      <c r="K170" s="7"/>
      <c r="L170" s="7"/>
      <c r="M170" s="7"/>
      <c r="N170" s="7"/>
    </row>
    <row r="171" spans="1:14" ht="16" thickBot="1">
      <c r="B171" s="9"/>
      <c r="D171" s="111">
        <v>0</v>
      </c>
      <c r="E171" s="112">
        <v>0</v>
      </c>
      <c r="F171" s="7"/>
      <c r="G171" s="7"/>
      <c r="H171" s="7"/>
      <c r="I171" s="7"/>
      <c r="J171" s="7"/>
      <c r="K171" s="7"/>
      <c r="L171" s="7"/>
      <c r="M171" s="7"/>
      <c r="N171" s="7"/>
    </row>
    <row r="172" spans="1:14" ht="14" customHeight="1" thickBot="1">
      <c r="B172" s="9"/>
      <c r="C172" s="9"/>
      <c r="D172" s="347" t="s">
        <v>191</v>
      </c>
      <c r="E172" s="348"/>
      <c r="F172" s="348"/>
      <c r="G172" s="349"/>
      <c r="H172" s="7"/>
      <c r="I172" s="7"/>
      <c r="J172" s="7"/>
      <c r="K172" s="7"/>
      <c r="L172" s="7"/>
      <c r="M172" s="7"/>
      <c r="N172" s="7"/>
    </row>
    <row r="173" spans="1:14" ht="46.5">
      <c r="B173" s="9"/>
      <c r="C173" s="9"/>
      <c r="D173" s="113" t="s">
        <v>627</v>
      </c>
      <c r="E173" s="114" t="s">
        <v>628</v>
      </c>
      <c r="F173" s="114" t="s">
        <v>629</v>
      </c>
      <c r="G173" s="115" t="s">
        <v>630</v>
      </c>
      <c r="H173" s="116" t="s">
        <v>190</v>
      </c>
      <c r="I173" s="7"/>
      <c r="J173" s="7"/>
      <c r="K173" s="7"/>
      <c r="L173" s="7"/>
      <c r="M173" s="7"/>
      <c r="N173" s="7"/>
    </row>
    <row r="174" spans="1:14" ht="16" thickBot="1">
      <c r="B174" s="9"/>
      <c r="C174" s="9"/>
      <c r="D174" s="107">
        <v>0</v>
      </c>
      <c r="E174" s="106">
        <v>0</v>
      </c>
      <c r="F174" s="106">
        <v>0</v>
      </c>
      <c r="G174" s="99">
        <v>0</v>
      </c>
      <c r="H174" s="7"/>
      <c r="I174" s="7"/>
      <c r="J174" s="7"/>
      <c r="K174" s="7"/>
      <c r="L174" s="7"/>
      <c r="M174" s="7"/>
      <c r="N174" s="7"/>
    </row>
    <row r="175" spans="1:14" ht="16" thickBot="1">
      <c r="B175" s="9"/>
      <c r="C175" s="9"/>
      <c r="D175" s="7"/>
      <c r="E175" s="7"/>
      <c r="F175" s="7"/>
      <c r="G175" s="7"/>
      <c r="H175" s="7"/>
      <c r="I175" s="7"/>
      <c r="J175" s="7"/>
      <c r="K175" s="7"/>
      <c r="L175" s="7"/>
      <c r="M175" s="7"/>
      <c r="N175" s="7"/>
    </row>
    <row r="176" spans="1:14" ht="15.5" customHeight="1">
      <c r="B176" s="9"/>
      <c r="C176" s="9"/>
      <c r="D176" s="320" t="s">
        <v>193</v>
      </c>
      <c r="E176" s="321"/>
      <c r="F176" s="321"/>
      <c r="G176" s="321"/>
      <c r="H176" s="322"/>
      <c r="I176" s="7"/>
      <c r="J176" s="7"/>
      <c r="K176" s="7"/>
      <c r="L176" s="7"/>
      <c r="M176" s="7"/>
      <c r="N176" s="7"/>
    </row>
    <row r="177" spans="1:17" ht="46.5">
      <c r="B177" s="9"/>
      <c r="C177" s="9"/>
      <c r="D177" s="117" t="s">
        <v>631</v>
      </c>
      <c r="E177" s="48" t="s">
        <v>632</v>
      </c>
      <c r="F177" s="48" t="s">
        <v>633</v>
      </c>
      <c r="G177" s="48" t="s">
        <v>634</v>
      </c>
      <c r="H177" s="118" t="s">
        <v>635</v>
      </c>
      <c r="I177" s="116" t="s">
        <v>192</v>
      </c>
      <c r="J177" s="343" t="s">
        <v>194</v>
      </c>
      <c r="K177" s="343"/>
      <c r="L177" s="343"/>
      <c r="M177" s="343"/>
      <c r="N177" s="343"/>
    </row>
    <row r="178" spans="1:17">
      <c r="A178" s="84" t="s">
        <v>645</v>
      </c>
      <c r="B178" s="9"/>
      <c r="C178" s="9"/>
      <c r="D178" s="119" t="s">
        <v>3</v>
      </c>
      <c r="E178" s="42">
        <v>0</v>
      </c>
      <c r="F178" s="42">
        <v>0</v>
      </c>
      <c r="G178" s="42">
        <v>0</v>
      </c>
      <c r="H178" s="41">
        <v>0</v>
      </c>
      <c r="I178" s="7"/>
      <c r="J178" s="343"/>
      <c r="K178" s="343"/>
      <c r="L178" s="343"/>
      <c r="M178" s="343"/>
      <c r="N178" s="343"/>
    </row>
    <row r="179" spans="1:17" ht="16" thickBot="1">
      <c r="A179" s="84" t="s">
        <v>3</v>
      </c>
      <c r="B179" s="9"/>
      <c r="C179" s="9"/>
      <c r="D179" s="107" t="s">
        <v>3</v>
      </c>
      <c r="E179" s="106">
        <v>0</v>
      </c>
      <c r="F179" s="106">
        <v>0</v>
      </c>
      <c r="G179" s="106">
        <v>0</v>
      </c>
      <c r="H179" s="99">
        <v>0</v>
      </c>
      <c r="I179" s="7"/>
      <c r="J179" s="343"/>
      <c r="K179" s="343"/>
      <c r="L179" s="343"/>
      <c r="M179" s="343"/>
      <c r="N179" s="343"/>
    </row>
    <row r="180" spans="1:17">
      <c r="C180" s="9"/>
      <c r="I180" s="7"/>
      <c r="J180" s="7"/>
      <c r="K180" s="7"/>
      <c r="L180" s="7"/>
      <c r="M180" s="7"/>
      <c r="N180" s="7"/>
    </row>
    <row r="181" spans="1:17" ht="16" thickBot="1">
      <c r="I181" s="7"/>
      <c r="J181" s="7"/>
      <c r="K181" s="7"/>
      <c r="L181" s="7"/>
      <c r="M181" s="7"/>
      <c r="N181" s="7"/>
    </row>
    <row r="182" spans="1:17" ht="20.5" thickBot="1">
      <c r="D182" s="309" t="s">
        <v>195</v>
      </c>
      <c r="E182" s="310" t="s">
        <v>1</v>
      </c>
      <c r="F182" s="10"/>
      <c r="G182" s="10"/>
      <c r="H182" s="10"/>
      <c r="I182" s="10"/>
      <c r="J182" s="10"/>
      <c r="K182" s="17"/>
      <c r="L182" s="10"/>
      <c r="M182" s="7"/>
      <c r="N182" s="7"/>
    </row>
    <row r="183" spans="1:17" ht="16" thickBot="1">
      <c r="D183" s="311" t="s">
        <v>636</v>
      </c>
      <c r="E183" s="312"/>
      <c r="F183" s="5"/>
      <c r="G183" s="5"/>
      <c r="H183" s="5"/>
      <c r="I183" s="5"/>
      <c r="J183" s="5"/>
      <c r="K183" s="5"/>
      <c r="L183" s="5"/>
      <c r="M183" s="7"/>
      <c r="N183" s="7"/>
    </row>
    <row r="184" spans="1:17">
      <c r="D184" s="320" t="s">
        <v>196</v>
      </c>
      <c r="E184" s="322"/>
      <c r="F184" s="7"/>
      <c r="G184" s="7"/>
      <c r="H184" s="7"/>
      <c r="I184" s="7"/>
      <c r="J184" s="7"/>
      <c r="K184" s="7"/>
      <c r="L184" s="10"/>
      <c r="M184" s="7"/>
      <c r="N184" s="7"/>
    </row>
    <row r="185" spans="1:17">
      <c r="D185" s="24" t="s">
        <v>637</v>
      </c>
      <c r="E185" s="110"/>
      <c r="F185" s="69" t="s">
        <v>197</v>
      </c>
      <c r="G185" s="7"/>
      <c r="H185" s="7"/>
      <c r="I185" s="7"/>
      <c r="J185" s="7"/>
      <c r="K185" s="7"/>
      <c r="L185" s="9"/>
    </row>
    <row r="186" spans="1:17" ht="33.5" customHeight="1">
      <c r="A186" s="84" t="s">
        <v>648</v>
      </c>
      <c r="D186" s="120" t="s">
        <v>641</v>
      </c>
      <c r="E186" s="41" t="s">
        <v>650</v>
      </c>
      <c r="F186" s="69" t="s">
        <v>638</v>
      </c>
      <c r="G186" s="350" t="s">
        <v>198</v>
      </c>
      <c r="H186" s="351"/>
      <c r="I186" s="351"/>
      <c r="J186" s="351"/>
      <c r="K186" s="351"/>
      <c r="L186" s="351"/>
      <c r="M186" s="351"/>
      <c r="N186" s="351"/>
      <c r="O186" s="351"/>
      <c r="P186" s="351"/>
      <c r="Q186" s="352"/>
    </row>
    <row r="187" spans="1:17" ht="29" customHeight="1">
      <c r="A187" s="84" t="s">
        <v>649</v>
      </c>
      <c r="D187" s="120" t="s">
        <v>642</v>
      </c>
      <c r="E187" s="41" t="s">
        <v>650</v>
      </c>
      <c r="F187" s="69" t="s">
        <v>639</v>
      </c>
      <c r="G187" s="343" t="s">
        <v>199</v>
      </c>
      <c r="H187" s="343"/>
      <c r="I187" s="343"/>
      <c r="J187" s="343"/>
      <c r="K187" s="343"/>
      <c r="L187" s="343"/>
      <c r="M187" s="343"/>
      <c r="N187" s="343"/>
      <c r="O187" s="343"/>
      <c r="P187" s="343"/>
      <c r="Q187" s="343"/>
    </row>
    <row r="188" spans="1:17">
      <c r="A188" s="84" t="s">
        <v>650</v>
      </c>
      <c r="D188" s="120" t="s">
        <v>643</v>
      </c>
      <c r="E188" s="41" t="s">
        <v>650</v>
      </c>
      <c r="F188" s="69" t="s">
        <v>200</v>
      </c>
      <c r="G188" s="344" t="s">
        <v>201</v>
      </c>
      <c r="H188" s="345"/>
      <c r="I188" s="345"/>
      <c r="J188" s="345"/>
      <c r="K188" s="345"/>
      <c r="L188" s="345"/>
      <c r="M188" s="345"/>
      <c r="N188" s="345"/>
      <c r="O188" s="345"/>
      <c r="P188" s="345"/>
      <c r="Q188" s="346"/>
    </row>
    <row r="189" spans="1:17" ht="31" customHeight="1" thickBot="1">
      <c r="D189" s="125" t="s">
        <v>644</v>
      </c>
      <c r="E189" s="112" t="s">
        <v>650</v>
      </c>
      <c r="F189" s="69" t="s">
        <v>640</v>
      </c>
      <c r="G189" s="343" t="s">
        <v>202</v>
      </c>
      <c r="H189" s="343"/>
      <c r="I189" s="343"/>
      <c r="J189" s="343"/>
      <c r="K189" s="343"/>
      <c r="L189" s="343"/>
      <c r="M189" s="343"/>
      <c r="N189" s="343"/>
      <c r="O189" s="343"/>
      <c r="P189" s="343"/>
      <c r="Q189" s="343"/>
    </row>
    <row r="190" spans="1:17" ht="15.5" customHeight="1">
      <c r="D190" s="126" t="s">
        <v>204</v>
      </c>
      <c r="E190" s="127" t="s">
        <v>205</v>
      </c>
      <c r="F190" s="128" t="s">
        <v>206</v>
      </c>
      <c r="G190" s="299" t="s">
        <v>203</v>
      </c>
      <c r="H190" s="7"/>
      <c r="I190" s="7"/>
      <c r="J190" s="7"/>
      <c r="K190" s="7"/>
      <c r="L190" s="7"/>
    </row>
    <row r="191" spans="1:17" ht="68" customHeight="1">
      <c r="D191" s="43" t="s">
        <v>653</v>
      </c>
      <c r="E191" s="129" t="s">
        <v>3</v>
      </c>
      <c r="F191" s="130" t="s">
        <v>3</v>
      </c>
      <c r="G191" s="299"/>
      <c r="H191" s="292" t="s">
        <v>207</v>
      </c>
      <c r="I191" s="292"/>
      <c r="J191" s="292"/>
      <c r="K191" s="292"/>
      <c r="L191" s="292"/>
      <c r="M191" s="292"/>
      <c r="N191" s="292"/>
      <c r="O191" s="292"/>
      <c r="P191" s="292"/>
      <c r="Q191" s="292"/>
    </row>
    <row r="192" spans="1:17" ht="30" customHeight="1">
      <c r="D192" s="43" t="s">
        <v>654</v>
      </c>
      <c r="E192" s="129" t="s">
        <v>3</v>
      </c>
      <c r="F192" s="130" t="s">
        <v>3</v>
      </c>
      <c r="G192" s="299"/>
      <c r="H192" s="292" t="s">
        <v>208</v>
      </c>
      <c r="I192" s="292"/>
      <c r="J192" s="292"/>
      <c r="K192" s="292"/>
      <c r="L192" s="292"/>
      <c r="M192" s="292"/>
      <c r="N192" s="292"/>
      <c r="O192" s="292"/>
      <c r="P192" s="292"/>
      <c r="Q192" s="292"/>
    </row>
    <row r="193" spans="1:17" ht="30" customHeight="1">
      <c r="D193" s="43" t="s">
        <v>655</v>
      </c>
      <c r="E193" s="129" t="s">
        <v>3</v>
      </c>
      <c r="F193" s="130" t="s">
        <v>3</v>
      </c>
      <c r="G193" s="299"/>
      <c r="H193" s="292" t="s">
        <v>209</v>
      </c>
      <c r="I193" s="292"/>
      <c r="J193" s="292"/>
      <c r="K193" s="292"/>
      <c r="L193" s="292"/>
      <c r="M193" s="292"/>
      <c r="N193" s="292"/>
      <c r="O193" s="292"/>
      <c r="P193" s="292"/>
      <c r="Q193" s="292"/>
    </row>
    <row r="194" spans="1:17" ht="31" customHeight="1">
      <c r="D194" s="43" t="s">
        <v>656</v>
      </c>
      <c r="E194" s="129" t="s">
        <v>3</v>
      </c>
      <c r="F194" s="130" t="s">
        <v>3</v>
      </c>
      <c r="G194" s="299"/>
      <c r="H194" s="292" t="s">
        <v>210</v>
      </c>
      <c r="I194" s="292"/>
      <c r="J194" s="292"/>
      <c r="K194" s="292"/>
      <c r="L194" s="292"/>
      <c r="M194" s="292"/>
      <c r="N194" s="292"/>
      <c r="O194" s="292"/>
      <c r="P194" s="292"/>
      <c r="Q194" s="292"/>
    </row>
    <row r="195" spans="1:17" ht="15.75" customHeight="1" thickBot="1">
      <c r="D195" s="44" t="s">
        <v>657</v>
      </c>
      <c r="E195" s="131" t="s">
        <v>3</v>
      </c>
      <c r="F195" s="132" t="s">
        <v>3</v>
      </c>
      <c r="G195" s="299"/>
      <c r="H195" s="89"/>
      <c r="I195" s="7"/>
      <c r="J195" s="7"/>
      <c r="K195" s="7"/>
      <c r="L195" s="7"/>
    </row>
    <row r="196" spans="1:17">
      <c r="D196" s="133" t="s">
        <v>658</v>
      </c>
      <c r="E196" s="134" t="s">
        <v>659</v>
      </c>
      <c r="F196" s="135" t="s">
        <v>660</v>
      </c>
      <c r="G196" s="45" t="s">
        <v>211</v>
      </c>
      <c r="H196" s="7"/>
      <c r="I196" s="7"/>
      <c r="J196" s="7"/>
      <c r="K196" s="7"/>
      <c r="L196" s="9"/>
    </row>
    <row r="197" spans="1:17" ht="47.5" customHeight="1" thickBot="1">
      <c r="D197" s="136" t="s">
        <v>662</v>
      </c>
      <c r="E197" s="131" t="s">
        <v>3</v>
      </c>
      <c r="F197" s="132" t="s">
        <v>3</v>
      </c>
      <c r="G197" s="45" t="s">
        <v>212</v>
      </c>
      <c r="H197" s="292" t="s">
        <v>59</v>
      </c>
      <c r="I197" s="292"/>
      <c r="J197" s="292"/>
      <c r="K197" s="292"/>
      <c r="L197" s="292"/>
      <c r="M197" s="292"/>
      <c r="N197" s="292"/>
      <c r="O197" s="292"/>
      <c r="P197" s="292"/>
      <c r="Q197" s="292"/>
    </row>
    <row r="198" spans="1:17" ht="16" thickBot="1">
      <c r="D198" s="9"/>
      <c r="E198" s="9"/>
      <c r="F198" s="8"/>
      <c r="G198" s="8"/>
      <c r="H198" s="8"/>
      <c r="I198" s="8"/>
      <c r="J198" s="8"/>
      <c r="K198" s="8"/>
      <c r="L198" s="9"/>
    </row>
    <row r="199" spans="1:17">
      <c r="D199" s="320" t="s">
        <v>213</v>
      </c>
      <c r="E199" s="322"/>
      <c r="F199" s="10"/>
      <c r="G199" s="8"/>
      <c r="H199" s="10"/>
      <c r="I199" s="10"/>
      <c r="J199" s="10"/>
      <c r="K199" s="10"/>
      <c r="L199" s="10"/>
    </row>
    <row r="200" spans="1:17">
      <c r="D200" s="366" t="s">
        <v>663</v>
      </c>
      <c r="E200" s="367"/>
      <c r="F200" s="45" t="s">
        <v>214</v>
      </c>
      <c r="G200" s="89"/>
      <c r="H200" s="89"/>
      <c r="I200" s="7"/>
      <c r="J200" s="7"/>
      <c r="K200" s="7"/>
      <c r="L200" s="9"/>
    </row>
    <row r="201" spans="1:17">
      <c r="D201" s="137" t="s">
        <v>664</v>
      </c>
      <c r="E201" s="41">
        <v>0</v>
      </c>
      <c r="F201" s="45" t="s">
        <v>215</v>
      </c>
      <c r="G201" s="89"/>
      <c r="I201" s="7"/>
      <c r="J201" s="7"/>
      <c r="K201" s="7"/>
      <c r="L201" s="9"/>
    </row>
    <row r="202" spans="1:17">
      <c r="D202" s="137" t="s">
        <v>666</v>
      </c>
      <c r="E202" s="41">
        <v>0</v>
      </c>
      <c r="F202" s="45" t="s">
        <v>216</v>
      </c>
      <c r="G202" s="89"/>
      <c r="I202" s="7"/>
      <c r="J202" s="7"/>
      <c r="K202" s="7"/>
      <c r="L202" s="9"/>
    </row>
    <row r="203" spans="1:17">
      <c r="D203" s="137" t="s">
        <v>667</v>
      </c>
      <c r="E203" s="41">
        <v>0</v>
      </c>
      <c r="F203" s="45" t="s">
        <v>217</v>
      </c>
      <c r="G203" s="89"/>
      <c r="I203" s="7"/>
      <c r="J203" s="7"/>
      <c r="K203" s="7"/>
      <c r="L203" s="9"/>
    </row>
    <row r="204" spans="1:17" ht="16" thickBot="1">
      <c r="D204" s="138" t="s">
        <v>665</v>
      </c>
      <c r="E204" s="139">
        <f>+E201+E202-E203</f>
        <v>0</v>
      </c>
      <c r="F204" s="45" t="s">
        <v>218</v>
      </c>
      <c r="G204" s="89"/>
      <c r="I204" s="7"/>
      <c r="J204" s="7"/>
      <c r="K204" s="7"/>
      <c r="L204" s="9"/>
    </row>
    <row r="205" spans="1:17" ht="16" thickBot="1">
      <c r="D205" s="7"/>
      <c r="E205" s="7"/>
      <c r="F205" s="7"/>
      <c r="G205" s="7"/>
      <c r="H205" s="7"/>
      <c r="I205" s="7"/>
      <c r="J205" s="7"/>
      <c r="K205" s="7"/>
    </row>
    <row r="206" spans="1:17">
      <c r="D206" s="320" t="s">
        <v>219</v>
      </c>
      <c r="E206" s="322" t="s">
        <v>102</v>
      </c>
      <c r="F206" s="5"/>
      <c r="G206" s="5"/>
      <c r="H206" s="5"/>
      <c r="I206" s="5"/>
      <c r="J206" s="5"/>
      <c r="K206" s="5"/>
      <c r="L206" s="5"/>
      <c r="M206" s="5"/>
      <c r="N206" s="5"/>
    </row>
    <row r="207" spans="1:17" ht="31" customHeight="1" thickBot="1">
      <c r="D207" s="140" t="s">
        <v>221</v>
      </c>
      <c r="E207" s="112" t="s">
        <v>650</v>
      </c>
      <c r="F207" s="45" t="s">
        <v>220</v>
      </c>
      <c r="G207" s="328" t="s">
        <v>222</v>
      </c>
      <c r="H207" s="329"/>
      <c r="I207" s="329"/>
      <c r="J207" s="329"/>
      <c r="K207" s="290"/>
      <c r="L207" s="290"/>
      <c r="M207" s="290"/>
      <c r="N207" s="290"/>
      <c r="O207" s="290"/>
      <c r="P207" s="291"/>
    </row>
    <row r="208" spans="1:17">
      <c r="A208" s="9"/>
      <c r="B208" s="9"/>
      <c r="C208" s="9"/>
      <c r="D208" s="320" t="s">
        <v>223</v>
      </c>
      <c r="E208" s="321"/>
      <c r="F208" s="321"/>
      <c r="G208" s="321"/>
      <c r="H208" s="321"/>
      <c r="I208" s="321"/>
      <c r="J208" s="322"/>
      <c r="K208" s="7"/>
      <c r="L208" s="7"/>
      <c r="M208" s="7"/>
      <c r="N208" s="7"/>
    </row>
    <row r="209" spans="1:16" ht="77.5" customHeight="1">
      <c r="A209" s="9"/>
      <c r="B209" s="9"/>
      <c r="C209" s="9"/>
      <c r="D209" s="370" t="s">
        <v>224</v>
      </c>
      <c r="E209" s="368" t="s">
        <v>668</v>
      </c>
      <c r="F209" s="293" t="s">
        <v>669</v>
      </c>
      <c r="G209" s="294"/>
      <c r="H209" s="294"/>
      <c r="I209" s="295"/>
      <c r="J209" s="110" t="s">
        <v>670</v>
      </c>
      <c r="K209" s="299" t="s">
        <v>220</v>
      </c>
      <c r="L209" s="7"/>
      <c r="M209" s="7"/>
      <c r="N209" s="7"/>
    </row>
    <row r="210" spans="1:16" ht="18.5">
      <c r="A210" s="9"/>
      <c r="B210" s="9"/>
      <c r="C210" s="9"/>
      <c r="D210" s="371"/>
      <c r="E210" s="369"/>
      <c r="F210" s="19" t="s">
        <v>226</v>
      </c>
      <c r="G210" s="19" t="s">
        <v>228</v>
      </c>
      <c r="H210" s="19" t="s">
        <v>229</v>
      </c>
      <c r="I210" s="1" t="s">
        <v>230</v>
      </c>
      <c r="J210" s="110"/>
      <c r="K210" s="299"/>
      <c r="L210" s="7"/>
      <c r="M210" s="7"/>
      <c r="N210" s="7"/>
    </row>
    <row r="211" spans="1:16" ht="18.5">
      <c r="A211" s="9"/>
      <c r="B211" s="9"/>
      <c r="C211" s="9"/>
      <c r="D211" s="141" t="s">
        <v>225</v>
      </c>
      <c r="E211" s="42">
        <v>0</v>
      </c>
      <c r="F211" s="42">
        <v>0</v>
      </c>
      <c r="G211" s="42">
        <v>0</v>
      </c>
      <c r="H211" s="42">
        <v>0</v>
      </c>
      <c r="I211" s="42">
        <v>0</v>
      </c>
      <c r="J211" s="41">
        <v>0</v>
      </c>
      <c r="K211" s="299"/>
      <c r="L211" s="7"/>
      <c r="M211" s="7"/>
      <c r="N211" s="7"/>
    </row>
    <row r="212" spans="1:16" ht="18.5">
      <c r="A212" s="9"/>
      <c r="B212" s="9"/>
      <c r="C212" s="9"/>
      <c r="D212" s="141" t="s">
        <v>226</v>
      </c>
      <c r="E212" s="42">
        <v>0</v>
      </c>
      <c r="F212" s="1" t="s">
        <v>227</v>
      </c>
      <c r="G212" s="42">
        <v>0</v>
      </c>
      <c r="H212" s="42">
        <v>0</v>
      </c>
      <c r="I212" s="42">
        <v>0</v>
      </c>
      <c r="J212" s="41">
        <v>0</v>
      </c>
      <c r="K212" s="299"/>
      <c r="L212" s="7"/>
      <c r="M212" s="7"/>
      <c r="N212" s="7"/>
    </row>
    <row r="213" spans="1:16" ht="18.5">
      <c r="A213" s="9"/>
      <c r="B213" s="9"/>
      <c r="C213" s="9"/>
      <c r="D213" s="141" t="s">
        <v>228</v>
      </c>
      <c r="E213" s="42">
        <v>0</v>
      </c>
      <c r="F213" s="1" t="s">
        <v>227</v>
      </c>
      <c r="G213" s="3" t="s">
        <v>227</v>
      </c>
      <c r="H213" s="42">
        <v>0</v>
      </c>
      <c r="I213" s="42">
        <v>0</v>
      </c>
      <c r="J213" s="41">
        <v>0</v>
      </c>
      <c r="K213" s="299"/>
      <c r="L213" s="7"/>
      <c r="M213" s="7"/>
      <c r="N213" s="7"/>
    </row>
    <row r="214" spans="1:16" ht="18.5">
      <c r="A214" s="9"/>
      <c r="B214" s="9"/>
      <c r="C214" s="9"/>
      <c r="D214" s="141" t="s">
        <v>229</v>
      </c>
      <c r="E214" s="42">
        <v>0</v>
      </c>
      <c r="F214" s="1" t="s">
        <v>227</v>
      </c>
      <c r="G214" s="3" t="s">
        <v>227</v>
      </c>
      <c r="H214" s="1" t="s">
        <v>227</v>
      </c>
      <c r="I214" s="42">
        <v>0</v>
      </c>
      <c r="J214" s="41">
        <v>0</v>
      </c>
      <c r="K214" s="299"/>
      <c r="L214" s="7"/>
      <c r="M214" s="7"/>
      <c r="N214" s="7"/>
    </row>
    <row r="215" spans="1:16" ht="15" customHeight="1" thickBot="1">
      <c r="A215" s="9"/>
      <c r="B215" s="9"/>
      <c r="C215" s="9"/>
      <c r="D215" s="25" t="s">
        <v>230</v>
      </c>
      <c r="E215" s="106">
        <v>0</v>
      </c>
      <c r="F215" s="142" t="s">
        <v>227</v>
      </c>
      <c r="G215" s="143" t="s">
        <v>227</v>
      </c>
      <c r="H215" s="142" t="s">
        <v>227</v>
      </c>
      <c r="I215" s="143" t="s">
        <v>227</v>
      </c>
      <c r="J215" s="144" t="s">
        <v>227</v>
      </c>
      <c r="K215" s="299"/>
      <c r="L215" s="7"/>
      <c r="M215" s="7"/>
      <c r="N215" s="7"/>
    </row>
    <row r="216" spans="1:16" ht="16" thickBot="1">
      <c r="A216" s="9"/>
      <c r="B216" s="9"/>
      <c r="C216" s="9"/>
      <c r="D216" s="11"/>
      <c r="E216" s="8"/>
      <c r="F216" s="11"/>
      <c r="G216" s="7"/>
      <c r="H216" s="7"/>
      <c r="I216" s="7"/>
      <c r="J216" s="7"/>
      <c r="K216" s="7"/>
      <c r="L216" s="7"/>
      <c r="M216" s="7"/>
      <c r="N216" s="7"/>
    </row>
    <row r="217" spans="1:16" ht="16" thickBot="1">
      <c r="A217" s="9"/>
      <c r="B217" s="9"/>
      <c r="C217" s="9"/>
      <c r="D217" s="296" t="s">
        <v>231</v>
      </c>
      <c r="E217" s="297"/>
      <c r="F217" s="298"/>
      <c r="G217" s="7"/>
      <c r="H217" s="7"/>
      <c r="I217" s="7"/>
      <c r="J217" s="7"/>
      <c r="K217" s="7"/>
      <c r="L217" s="7"/>
      <c r="M217" s="7"/>
      <c r="N217" s="7"/>
    </row>
    <row r="218" spans="1:16" ht="15" customHeight="1">
      <c r="A218" s="9"/>
      <c r="B218" s="9"/>
      <c r="C218" s="9"/>
      <c r="D218" s="145" t="s">
        <v>671</v>
      </c>
      <c r="E218" s="146" t="s">
        <v>672</v>
      </c>
      <c r="F218" s="135" t="s">
        <v>673</v>
      </c>
      <c r="G218" s="299" t="s">
        <v>232</v>
      </c>
      <c r="H218" s="7"/>
      <c r="I218" s="7"/>
      <c r="J218" s="7"/>
      <c r="K218" s="7"/>
      <c r="L218" s="7"/>
      <c r="M218" s="7"/>
      <c r="N218" s="7"/>
    </row>
    <row r="219" spans="1:16" ht="30" customHeight="1" thickBot="1">
      <c r="A219" s="9"/>
      <c r="B219" s="9"/>
      <c r="C219" s="9"/>
      <c r="D219" s="107">
        <v>0</v>
      </c>
      <c r="E219" s="106">
        <v>0</v>
      </c>
      <c r="F219" s="99">
        <v>0</v>
      </c>
      <c r="G219" s="299"/>
      <c r="H219" s="7"/>
      <c r="I219" s="7"/>
      <c r="J219" s="7"/>
      <c r="K219" s="7"/>
      <c r="L219" s="7"/>
      <c r="M219" s="7"/>
      <c r="N219" s="7"/>
    </row>
    <row r="220" spans="1:16">
      <c r="A220" s="9"/>
      <c r="B220" s="9"/>
      <c r="C220" s="9"/>
      <c r="D220" s="5"/>
      <c r="E220" s="5"/>
      <c r="F220" s="5"/>
      <c r="G220" s="5"/>
      <c r="H220" s="5"/>
      <c r="I220" s="5"/>
      <c r="J220" s="5"/>
      <c r="K220" s="5"/>
      <c r="L220" s="5"/>
      <c r="M220" s="5"/>
      <c r="N220" s="5"/>
    </row>
    <row r="221" spans="1:16" ht="16" thickBot="1">
      <c r="A221" s="9"/>
      <c r="B221" s="9"/>
      <c r="C221" s="9"/>
      <c r="D221" s="5"/>
      <c r="E221" s="5"/>
      <c r="F221" s="5"/>
      <c r="G221" s="5"/>
      <c r="H221" s="5"/>
      <c r="I221" s="5"/>
      <c r="J221" s="5"/>
      <c r="K221" s="5"/>
      <c r="L221" s="5"/>
      <c r="M221" s="5"/>
      <c r="N221" s="5"/>
    </row>
    <row r="222" spans="1:16" ht="33" customHeight="1" thickBot="1">
      <c r="A222" s="9"/>
      <c r="B222" s="9"/>
      <c r="C222" s="9"/>
      <c r="D222" s="353" t="s">
        <v>234</v>
      </c>
      <c r="E222" s="354"/>
      <c r="F222" s="45" t="s">
        <v>233</v>
      </c>
      <c r="G222" s="292" t="s">
        <v>235</v>
      </c>
      <c r="H222" s="292"/>
      <c r="I222" s="292"/>
      <c r="J222" s="292"/>
      <c r="K222" s="292"/>
      <c r="L222" s="292"/>
      <c r="M222" s="292"/>
      <c r="N222" s="292"/>
      <c r="O222" s="292"/>
      <c r="P222" s="292"/>
    </row>
    <row r="223" spans="1:16" ht="15" customHeight="1" thickBot="1">
      <c r="A223" s="9"/>
      <c r="B223" s="9"/>
      <c r="C223" s="9"/>
      <c r="D223" s="296" t="s">
        <v>236</v>
      </c>
      <c r="E223" s="298"/>
      <c r="F223" s="7"/>
      <c r="G223" s="7"/>
      <c r="H223" s="7"/>
      <c r="I223" s="7"/>
      <c r="J223" s="7"/>
      <c r="K223" s="7"/>
      <c r="L223" s="7"/>
      <c r="M223" s="7"/>
      <c r="N223" s="7"/>
    </row>
    <row r="224" spans="1:16">
      <c r="A224" s="84"/>
      <c r="B224" s="9"/>
      <c r="C224" s="9"/>
      <c r="D224" s="12" t="s">
        <v>238</v>
      </c>
      <c r="E224" s="41" t="s">
        <v>650</v>
      </c>
      <c r="F224" s="45" t="s">
        <v>237</v>
      </c>
      <c r="G224" s="18"/>
      <c r="H224" s="18"/>
      <c r="I224" s="18"/>
      <c r="J224" s="18"/>
      <c r="K224" s="18"/>
      <c r="L224" s="18"/>
      <c r="M224" s="18"/>
      <c r="N224" s="18"/>
      <c r="O224" s="18"/>
      <c r="P224" s="18"/>
    </row>
    <row r="225" spans="1:30" ht="16" thickBot="1">
      <c r="A225" s="84"/>
      <c r="B225" s="9"/>
      <c r="C225" s="9"/>
      <c r="D225" s="5"/>
      <c r="E225" s="7"/>
      <c r="F225" s="7"/>
      <c r="G225" s="7"/>
      <c r="H225" s="7"/>
      <c r="I225" s="7"/>
      <c r="J225" s="7"/>
      <c r="K225" s="7"/>
      <c r="L225" s="7"/>
      <c r="M225" s="7"/>
      <c r="N225" s="7"/>
    </row>
    <row r="226" spans="1:30" ht="15.5" customHeight="1">
      <c r="A226" s="84"/>
      <c r="B226" s="9"/>
      <c r="C226" s="9"/>
      <c r="D226" s="320" t="s">
        <v>240</v>
      </c>
      <c r="E226" s="322"/>
      <c r="F226" s="299" t="s">
        <v>239</v>
      </c>
      <c r="G226" s="7"/>
      <c r="H226" s="7"/>
      <c r="I226" s="7"/>
      <c r="J226" s="7"/>
      <c r="K226" s="7"/>
      <c r="L226" s="7"/>
      <c r="M226" s="7"/>
      <c r="N226" s="7"/>
    </row>
    <row r="227" spans="1:30">
      <c r="A227" s="9"/>
      <c r="B227" s="9"/>
      <c r="C227" s="9"/>
      <c r="D227" s="43" t="s">
        <v>241</v>
      </c>
      <c r="E227" s="147" t="s">
        <v>242</v>
      </c>
      <c r="F227" s="299"/>
      <c r="G227" s="7"/>
      <c r="H227" s="7"/>
      <c r="I227" s="7"/>
      <c r="J227" s="7"/>
      <c r="K227" s="7"/>
      <c r="L227" s="7"/>
      <c r="M227" s="7"/>
      <c r="N227" s="7"/>
    </row>
    <row r="228" spans="1:30" ht="21" customHeight="1" thickBot="1">
      <c r="A228" s="84" t="s">
        <v>674</v>
      </c>
      <c r="B228" s="9"/>
      <c r="C228" s="9"/>
      <c r="D228" s="107" t="s">
        <v>3</v>
      </c>
      <c r="E228" s="99" t="s">
        <v>3</v>
      </c>
      <c r="F228" s="299"/>
      <c r="G228" s="89"/>
      <c r="H228" s="7"/>
      <c r="I228" s="7"/>
      <c r="J228" s="7"/>
      <c r="K228" s="7"/>
      <c r="L228" s="7"/>
      <c r="M228" s="7"/>
      <c r="N228" s="7"/>
    </row>
    <row r="229" spans="1:30" ht="16" thickBot="1">
      <c r="A229" s="84" t="s">
        <v>3</v>
      </c>
    </row>
    <row r="230" spans="1:30" ht="16.5" customHeight="1" thickBot="1">
      <c r="A230" s="9"/>
      <c r="B230" s="9"/>
      <c r="C230" s="9"/>
      <c r="D230" s="296" t="s">
        <v>244</v>
      </c>
      <c r="E230" s="297"/>
      <c r="F230" s="297"/>
      <c r="G230" s="297"/>
      <c r="H230" s="297"/>
      <c r="I230" s="297"/>
      <c r="J230" s="297"/>
      <c r="K230" s="297"/>
      <c r="L230" s="297"/>
      <c r="M230" s="298"/>
      <c r="N230" s="45" t="s">
        <v>243</v>
      </c>
    </row>
    <row r="231" spans="1:30" ht="16" thickBot="1">
      <c r="A231" s="9"/>
      <c r="B231" s="9"/>
      <c r="C231" s="9"/>
      <c r="D231" s="303" t="s">
        <v>675</v>
      </c>
      <c r="E231" s="304"/>
      <c r="F231" s="304"/>
      <c r="G231" s="304"/>
      <c r="H231" s="304"/>
      <c r="I231" s="304"/>
      <c r="J231" s="304"/>
      <c r="K231" s="304"/>
      <c r="L231" s="304"/>
      <c r="M231" s="304"/>
    </row>
    <row r="232" spans="1:30" ht="16.5" customHeight="1" thickBot="1">
      <c r="A232" s="9"/>
      <c r="B232" s="9"/>
      <c r="C232" s="9"/>
      <c r="D232" s="156" t="s">
        <v>247</v>
      </c>
      <c r="E232" s="159" t="str">
        <f>+'1 MNE Group Information'!C40</f>
        <v>Nord Stream AG</v>
      </c>
      <c r="F232" s="159"/>
      <c r="G232" s="159"/>
      <c r="H232" s="159"/>
      <c r="I232" s="159"/>
      <c r="J232" s="159"/>
      <c r="K232" s="159"/>
      <c r="L232" s="160"/>
      <c r="M232" s="157" t="s">
        <v>676</v>
      </c>
      <c r="N232" s="45" t="s">
        <v>245</v>
      </c>
      <c r="O232" s="45" t="s">
        <v>246</v>
      </c>
    </row>
    <row r="233" spans="1:30" ht="16.5" customHeight="1">
      <c r="A233" s="9"/>
      <c r="B233" s="9"/>
      <c r="C233" s="9"/>
      <c r="D233" s="153" t="s">
        <v>249</v>
      </c>
      <c r="E233" s="154">
        <f>+E271</f>
        <v>234576534</v>
      </c>
      <c r="F233" s="154">
        <f t="shared" ref="F233:L233" si="3">+F271</f>
        <v>0</v>
      </c>
      <c r="G233" s="154">
        <f t="shared" si="3"/>
        <v>0</v>
      </c>
      <c r="H233" s="154">
        <f t="shared" si="3"/>
        <v>0</v>
      </c>
      <c r="I233" s="154">
        <f t="shared" si="3"/>
        <v>0</v>
      </c>
      <c r="J233" s="154">
        <f t="shared" si="3"/>
        <v>0</v>
      </c>
      <c r="K233" s="154">
        <f t="shared" si="3"/>
        <v>0</v>
      </c>
      <c r="L233" s="154">
        <f t="shared" si="3"/>
        <v>0</v>
      </c>
      <c r="M233" s="155">
        <f>SUM(E233:L233)</f>
        <v>234576534</v>
      </c>
      <c r="N233" s="45" t="s">
        <v>19</v>
      </c>
      <c r="O233" s="45" t="s">
        <v>248</v>
      </c>
    </row>
    <row r="234" spans="1:30" ht="16.5" customHeight="1">
      <c r="A234" s="9"/>
      <c r="B234" s="9"/>
      <c r="C234" s="9"/>
      <c r="D234" s="300" t="s">
        <v>697</v>
      </c>
      <c r="E234" s="301"/>
      <c r="F234" s="301"/>
      <c r="G234" s="301"/>
      <c r="H234" s="301"/>
      <c r="I234" s="301"/>
      <c r="J234" s="301"/>
      <c r="K234" s="301"/>
      <c r="L234" s="301"/>
      <c r="M234" s="302"/>
      <c r="N234" s="45" t="s">
        <v>137</v>
      </c>
      <c r="O234" s="45"/>
    </row>
    <row r="235" spans="1:30" ht="84" customHeight="1">
      <c r="A235" s="9"/>
      <c r="B235" s="9"/>
      <c r="C235" s="9"/>
      <c r="D235" s="23" t="s">
        <v>484</v>
      </c>
      <c r="E235" s="42">
        <v>3457864</v>
      </c>
      <c r="F235" s="42">
        <v>0</v>
      </c>
      <c r="G235" s="42">
        <v>0</v>
      </c>
      <c r="H235" s="42">
        <v>0</v>
      </c>
      <c r="I235" s="42">
        <v>0</v>
      </c>
      <c r="J235" s="42">
        <v>0</v>
      </c>
      <c r="K235" s="42">
        <v>0</v>
      </c>
      <c r="L235" s="42">
        <v>0</v>
      </c>
      <c r="M235" s="150">
        <f t="shared" ref="M235:M260" si="4">SUM(E235:L235)</f>
        <v>3457864</v>
      </c>
      <c r="N235" s="45" t="s">
        <v>23</v>
      </c>
      <c r="O235" s="45" t="s">
        <v>677</v>
      </c>
      <c r="P235" s="289" t="s">
        <v>251</v>
      </c>
      <c r="Q235" s="290"/>
      <c r="R235" s="290"/>
      <c r="S235" s="290"/>
      <c r="T235" s="290"/>
      <c r="U235" s="290"/>
      <c r="V235" s="290"/>
      <c r="W235" s="290"/>
      <c r="X235" s="290"/>
      <c r="Y235" s="290"/>
      <c r="Z235" s="290"/>
      <c r="AA235" s="290"/>
      <c r="AB235" s="290"/>
      <c r="AC235" s="290"/>
      <c r="AD235" s="291"/>
    </row>
    <row r="236" spans="1:30" ht="31.5" customHeight="1">
      <c r="A236" s="9"/>
      <c r="B236" s="9"/>
      <c r="C236" s="9"/>
      <c r="D236" s="93" t="s">
        <v>485</v>
      </c>
      <c r="E236" s="42">
        <v>0</v>
      </c>
      <c r="F236" s="42">
        <v>0</v>
      </c>
      <c r="G236" s="42">
        <v>0</v>
      </c>
      <c r="H236" s="42">
        <v>0</v>
      </c>
      <c r="I236" s="42">
        <v>0</v>
      </c>
      <c r="J236" s="42">
        <v>0</v>
      </c>
      <c r="K236" s="42">
        <v>0</v>
      </c>
      <c r="L236" s="42">
        <v>0</v>
      </c>
      <c r="M236" s="150">
        <f t="shared" si="4"/>
        <v>0</v>
      </c>
      <c r="N236" s="45" t="s">
        <v>24</v>
      </c>
      <c r="O236" s="45" t="s">
        <v>678</v>
      </c>
      <c r="P236" s="289" t="s">
        <v>252</v>
      </c>
      <c r="Q236" s="290"/>
      <c r="R236" s="290"/>
      <c r="S236" s="290"/>
      <c r="T236" s="290"/>
      <c r="U236" s="290"/>
      <c r="V236" s="290"/>
      <c r="W236" s="290"/>
      <c r="X236" s="290"/>
      <c r="Y236" s="290"/>
      <c r="Z236" s="290"/>
      <c r="AA236" s="290"/>
      <c r="AB236" s="290"/>
      <c r="AC236" s="290"/>
      <c r="AD236" s="291"/>
    </row>
    <row r="237" spans="1:30" ht="34.5" customHeight="1">
      <c r="A237" s="9"/>
      <c r="B237" s="9"/>
      <c r="C237" s="9"/>
      <c r="D237" s="93" t="s">
        <v>486</v>
      </c>
      <c r="E237" s="42">
        <v>0</v>
      </c>
      <c r="F237" s="42">
        <v>0</v>
      </c>
      <c r="G237" s="42">
        <v>0</v>
      </c>
      <c r="H237" s="42">
        <v>0</v>
      </c>
      <c r="I237" s="42">
        <v>0</v>
      </c>
      <c r="J237" s="42">
        <v>0</v>
      </c>
      <c r="K237" s="42">
        <v>0</v>
      </c>
      <c r="L237" s="42">
        <v>0</v>
      </c>
      <c r="M237" s="150">
        <f t="shared" si="4"/>
        <v>0</v>
      </c>
      <c r="N237" s="45" t="s">
        <v>25</v>
      </c>
      <c r="O237" s="45" t="s">
        <v>679</v>
      </c>
      <c r="P237" s="289" t="s">
        <v>253</v>
      </c>
      <c r="Q237" s="290"/>
      <c r="R237" s="290"/>
      <c r="S237" s="290"/>
      <c r="T237" s="290"/>
      <c r="U237" s="290"/>
      <c r="V237" s="290"/>
      <c r="W237" s="290"/>
      <c r="X237" s="290"/>
      <c r="Y237" s="290"/>
      <c r="Z237" s="290"/>
      <c r="AA237" s="290"/>
      <c r="AB237" s="290"/>
      <c r="AC237" s="290"/>
      <c r="AD237" s="291"/>
    </row>
    <row r="238" spans="1:30" ht="16.5" customHeight="1">
      <c r="A238" s="9"/>
      <c r="B238" s="9"/>
      <c r="C238" s="9"/>
      <c r="D238" s="93" t="s">
        <v>487</v>
      </c>
      <c r="E238" s="42">
        <v>0</v>
      </c>
      <c r="F238" s="42">
        <v>0</v>
      </c>
      <c r="G238" s="42">
        <v>0</v>
      </c>
      <c r="H238" s="42">
        <v>0</v>
      </c>
      <c r="I238" s="42">
        <v>0</v>
      </c>
      <c r="J238" s="42">
        <v>0</v>
      </c>
      <c r="K238" s="42">
        <v>0</v>
      </c>
      <c r="L238" s="42">
        <v>0</v>
      </c>
      <c r="M238" s="150">
        <f t="shared" si="4"/>
        <v>0</v>
      </c>
      <c r="N238" s="45" t="s">
        <v>26</v>
      </c>
      <c r="O238" s="45" t="s">
        <v>680</v>
      </c>
      <c r="P238" s="289" t="s">
        <v>254</v>
      </c>
      <c r="Q238" s="290"/>
      <c r="R238" s="290"/>
      <c r="S238" s="290"/>
      <c r="T238" s="290"/>
      <c r="U238" s="290"/>
      <c r="V238" s="290"/>
      <c r="W238" s="290"/>
      <c r="X238" s="290"/>
      <c r="Y238" s="290"/>
      <c r="Z238" s="290"/>
      <c r="AA238" s="290"/>
      <c r="AB238" s="290"/>
      <c r="AC238" s="290"/>
      <c r="AD238" s="291"/>
    </row>
    <row r="239" spans="1:30" ht="36" customHeight="1">
      <c r="A239" s="9"/>
      <c r="B239" s="9"/>
      <c r="C239" s="9"/>
      <c r="D239" s="93" t="s">
        <v>488</v>
      </c>
      <c r="E239" s="42">
        <v>0</v>
      </c>
      <c r="F239" s="42">
        <v>0</v>
      </c>
      <c r="G239" s="42">
        <v>0</v>
      </c>
      <c r="H239" s="42">
        <v>0</v>
      </c>
      <c r="I239" s="42">
        <v>0</v>
      </c>
      <c r="J239" s="42">
        <v>0</v>
      </c>
      <c r="K239" s="42">
        <v>0</v>
      </c>
      <c r="L239" s="42">
        <v>0</v>
      </c>
      <c r="M239" s="150">
        <f t="shared" si="4"/>
        <v>0</v>
      </c>
      <c r="N239" s="45" t="s">
        <v>27</v>
      </c>
      <c r="O239" s="45" t="s">
        <v>255</v>
      </c>
      <c r="P239" s="289" t="s">
        <v>256</v>
      </c>
      <c r="Q239" s="290"/>
      <c r="R239" s="290"/>
      <c r="S239" s="290"/>
      <c r="T239" s="290"/>
      <c r="U239" s="290"/>
      <c r="V239" s="290"/>
      <c r="W239" s="290"/>
      <c r="X239" s="290"/>
      <c r="Y239" s="290"/>
      <c r="Z239" s="290"/>
      <c r="AA239" s="290"/>
      <c r="AB239" s="290"/>
      <c r="AC239" s="290"/>
      <c r="AD239" s="291"/>
    </row>
    <row r="240" spans="1:30" ht="36" customHeight="1">
      <c r="A240" s="9"/>
      <c r="B240" s="9"/>
      <c r="C240" s="9"/>
      <c r="D240" s="93" t="s">
        <v>489</v>
      </c>
      <c r="E240" s="42">
        <v>0</v>
      </c>
      <c r="F240" s="42">
        <v>0</v>
      </c>
      <c r="G240" s="42">
        <v>0</v>
      </c>
      <c r="H240" s="42">
        <v>0</v>
      </c>
      <c r="I240" s="42">
        <v>0</v>
      </c>
      <c r="J240" s="42">
        <v>0</v>
      </c>
      <c r="K240" s="42">
        <v>0</v>
      </c>
      <c r="L240" s="42">
        <v>0</v>
      </c>
      <c r="M240" s="150">
        <f t="shared" si="4"/>
        <v>0</v>
      </c>
      <c r="N240" s="45" t="s">
        <v>28</v>
      </c>
      <c r="O240" s="45" t="s">
        <v>681</v>
      </c>
      <c r="P240" s="289" t="s">
        <v>257</v>
      </c>
      <c r="Q240" s="290"/>
      <c r="R240" s="290"/>
      <c r="S240" s="290"/>
      <c r="T240" s="290"/>
      <c r="U240" s="290"/>
      <c r="V240" s="290"/>
      <c r="W240" s="290"/>
      <c r="X240" s="290"/>
      <c r="Y240" s="290"/>
      <c r="Z240" s="290"/>
      <c r="AA240" s="290"/>
      <c r="AB240" s="290"/>
      <c r="AC240" s="290"/>
      <c r="AD240" s="291"/>
    </row>
    <row r="241" spans="1:30" ht="101" customHeight="1">
      <c r="A241" s="9"/>
      <c r="B241" s="9"/>
      <c r="C241" s="9"/>
      <c r="D241" s="93" t="s">
        <v>490</v>
      </c>
      <c r="E241" s="42">
        <v>0</v>
      </c>
      <c r="F241" s="42">
        <v>0</v>
      </c>
      <c r="G241" s="42">
        <v>0</v>
      </c>
      <c r="H241" s="42">
        <v>0</v>
      </c>
      <c r="I241" s="42">
        <v>0</v>
      </c>
      <c r="J241" s="42">
        <v>0</v>
      </c>
      <c r="K241" s="42">
        <v>0</v>
      </c>
      <c r="L241" s="42">
        <v>0</v>
      </c>
      <c r="M241" s="150">
        <f t="shared" si="4"/>
        <v>0</v>
      </c>
      <c r="N241" s="45" t="s">
        <v>29</v>
      </c>
      <c r="O241" s="45" t="s">
        <v>682</v>
      </c>
      <c r="P241" s="289" t="s">
        <v>258</v>
      </c>
      <c r="Q241" s="290"/>
      <c r="R241" s="290"/>
      <c r="S241" s="290"/>
      <c r="T241" s="290"/>
      <c r="U241" s="290"/>
      <c r="V241" s="290"/>
      <c r="W241" s="290"/>
      <c r="X241" s="290"/>
      <c r="Y241" s="290"/>
      <c r="Z241" s="290"/>
      <c r="AA241" s="290"/>
      <c r="AB241" s="290"/>
      <c r="AC241" s="290"/>
      <c r="AD241" s="291"/>
    </row>
    <row r="242" spans="1:30" ht="16.5" customHeight="1">
      <c r="A242" s="9"/>
      <c r="B242" s="9"/>
      <c r="C242" s="9"/>
      <c r="D242" s="93" t="s">
        <v>491</v>
      </c>
      <c r="E242" s="42">
        <v>0</v>
      </c>
      <c r="F242" s="42">
        <v>0</v>
      </c>
      <c r="G242" s="42">
        <v>0</v>
      </c>
      <c r="H242" s="42">
        <v>0</v>
      </c>
      <c r="I242" s="42">
        <v>0</v>
      </c>
      <c r="J242" s="42">
        <v>0</v>
      </c>
      <c r="K242" s="42">
        <v>0</v>
      </c>
      <c r="L242" s="42">
        <v>0</v>
      </c>
      <c r="M242" s="150">
        <f t="shared" si="4"/>
        <v>0</v>
      </c>
      <c r="N242" s="45" t="s">
        <v>30</v>
      </c>
      <c r="O242" s="45" t="s">
        <v>683</v>
      </c>
      <c r="P242" s="289" t="s">
        <v>259</v>
      </c>
      <c r="Q242" s="290"/>
      <c r="R242" s="290"/>
      <c r="S242" s="290"/>
      <c r="T242" s="290"/>
      <c r="U242" s="290"/>
      <c r="V242" s="290"/>
      <c r="W242" s="290"/>
      <c r="X242" s="290"/>
      <c r="Y242" s="290"/>
      <c r="Z242" s="290"/>
      <c r="AA242" s="290"/>
      <c r="AB242" s="290"/>
      <c r="AC242" s="290"/>
      <c r="AD242" s="291"/>
    </row>
    <row r="243" spans="1:30" ht="16.5" customHeight="1">
      <c r="A243" s="9"/>
      <c r="B243" s="9"/>
      <c r="C243" s="9"/>
      <c r="D243" s="93" t="s">
        <v>492</v>
      </c>
      <c r="E243" s="42">
        <v>0</v>
      </c>
      <c r="F243" s="42">
        <v>0</v>
      </c>
      <c r="G243" s="42">
        <v>0</v>
      </c>
      <c r="H243" s="42">
        <v>0</v>
      </c>
      <c r="I243" s="42">
        <v>0</v>
      </c>
      <c r="J243" s="42">
        <v>0</v>
      </c>
      <c r="K243" s="42">
        <v>0</v>
      </c>
      <c r="L243" s="42">
        <v>0</v>
      </c>
      <c r="M243" s="150">
        <f t="shared" si="4"/>
        <v>0</v>
      </c>
      <c r="N243" s="45" t="s">
        <v>31</v>
      </c>
      <c r="O243" s="45" t="s">
        <v>684</v>
      </c>
      <c r="P243" s="289" t="s">
        <v>260</v>
      </c>
      <c r="Q243" s="290"/>
      <c r="R243" s="290"/>
      <c r="S243" s="290"/>
      <c r="T243" s="290"/>
      <c r="U243" s="290"/>
      <c r="V243" s="290"/>
      <c r="W243" s="290"/>
      <c r="X243" s="290"/>
      <c r="Y243" s="290"/>
      <c r="Z243" s="290"/>
      <c r="AA243" s="290"/>
      <c r="AB243" s="290"/>
      <c r="AC243" s="290"/>
      <c r="AD243" s="291"/>
    </row>
    <row r="244" spans="1:30" ht="29.5" customHeight="1">
      <c r="A244" s="9"/>
      <c r="B244" s="9"/>
      <c r="C244" s="9"/>
      <c r="D244" s="93" t="s">
        <v>493</v>
      </c>
      <c r="E244" s="42">
        <v>0</v>
      </c>
      <c r="F244" s="42">
        <v>0</v>
      </c>
      <c r="G244" s="42">
        <v>0</v>
      </c>
      <c r="H244" s="42">
        <v>0</v>
      </c>
      <c r="I244" s="42">
        <v>0</v>
      </c>
      <c r="J244" s="42">
        <v>0</v>
      </c>
      <c r="K244" s="42">
        <v>0</v>
      </c>
      <c r="L244" s="42">
        <v>0</v>
      </c>
      <c r="M244" s="150">
        <f t="shared" si="4"/>
        <v>0</v>
      </c>
      <c r="N244" s="45" t="s">
        <v>32</v>
      </c>
      <c r="O244" s="45" t="s">
        <v>685</v>
      </c>
      <c r="P244" s="289" t="s">
        <v>261</v>
      </c>
      <c r="Q244" s="290"/>
      <c r="R244" s="290"/>
      <c r="S244" s="290"/>
      <c r="T244" s="290"/>
      <c r="U244" s="290"/>
      <c r="V244" s="290"/>
      <c r="W244" s="290"/>
      <c r="X244" s="290"/>
      <c r="Y244" s="290"/>
      <c r="Z244" s="290"/>
      <c r="AA244" s="290"/>
      <c r="AB244" s="290"/>
      <c r="AC244" s="290"/>
      <c r="AD244" s="291"/>
    </row>
    <row r="245" spans="1:30" ht="33.5" customHeight="1">
      <c r="A245" s="9"/>
      <c r="B245" s="9"/>
      <c r="C245" s="9"/>
      <c r="D245" s="93" t="s">
        <v>494</v>
      </c>
      <c r="E245" s="42">
        <v>0</v>
      </c>
      <c r="F245" s="42">
        <v>0</v>
      </c>
      <c r="G245" s="42">
        <v>0</v>
      </c>
      <c r="H245" s="42">
        <v>0</v>
      </c>
      <c r="I245" s="42">
        <v>0</v>
      </c>
      <c r="J245" s="42">
        <v>0</v>
      </c>
      <c r="K245" s="42">
        <v>0</v>
      </c>
      <c r="L245" s="42">
        <v>0</v>
      </c>
      <c r="M245" s="150">
        <f t="shared" si="4"/>
        <v>0</v>
      </c>
      <c r="N245" s="45" t="s">
        <v>33</v>
      </c>
      <c r="O245" s="45" t="s">
        <v>686</v>
      </c>
      <c r="P245" s="289" t="s">
        <v>262</v>
      </c>
      <c r="Q245" s="290"/>
      <c r="R245" s="290"/>
      <c r="S245" s="290"/>
      <c r="T245" s="290"/>
      <c r="U245" s="290"/>
      <c r="V245" s="290"/>
      <c r="W245" s="290"/>
      <c r="X245" s="290"/>
      <c r="Y245" s="290"/>
      <c r="Z245" s="290"/>
      <c r="AA245" s="290"/>
      <c r="AB245" s="290"/>
      <c r="AC245" s="290"/>
      <c r="AD245" s="291"/>
    </row>
    <row r="246" spans="1:30" ht="16.5" customHeight="1">
      <c r="A246" s="9"/>
      <c r="B246" s="9"/>
      <c r="C246" s="9"/>
      <c r="D246" s="93" t="s">
        <v>496</v>
      </c>
      <c r="E246" s="42">
        <v>0</v>
      </c>
      <c r="F246" s="42">
        <v>0</v>
      </c>
      <c r="G246" s="42">
        <v>0</v>
      </c>
      <c r="H246" s="42">
        <v>0</v>
      </c>
      <c r="I246" s="42">
        <v>0</v>
      </c>
      <c r="J246" s="42">
        <v>0</v>
      </c>
      <c r="K246" s="42">
        <v>0</v>
      </c>
      <c r="L246" s="42">
        <v>0</v>
      </c>
      <c r="M246" s="150">
        <f t="shared" si="4"/>
        <v>0</v>
      </c>
      <c r="N246" s="45" t="s">
        <v>34</v>
      </c>
      <c r="O246" s="45" t="s">
        <v>687</v>
      </c>
      <c r="P246" s="14"/>
    </row>
    <row r="247" spans="1:30" ht="16.5" customHeight="1">
      <c r="A247" s="9"/>
      <c r="B247" s="9"/>
      <c r="C247" s="9"/>
      <c r="D247" s="93" t="s">
        <v>495</v>
      </c>
      <c r="E247" s="42">
        <v>0</v>
      </c>
      <c r="F247" s="42">
        <v>0</v>
      </c>
      <c r="G247" s="42">
        <v>0</v>
      </c>
      <c r="H247" s="42">
        <v>0</v>
      </c>
      <c r="I247" s="42">
        <v>0</v>
      </c>
      <c r="J247" s="42">
        <v>0</v>
      </c>
      <c r="K247" s="42">
        <v>0</v>
      </c>
      <c r="L247" s="42">
        <v>0</v>
      </c>
      <c r="M247" s="150">
        <f t="shared" si="4"/>
        <v>0</v>
      </c>
      <c r="N247" s="45" t="s">
        <v>35</v>
      </c>
      <c r="O247" s="45" t="s">
        <v>264</v>
      </c>
      <c r="P247" s="289" t="s">
        <v>265</v>
      </c>
      <c r="Q247" s="290"/>
      <c r="R247" s="290"/>
      <c r="S247" s="290"/>
      <c r="T247" s="290"/>
      <c r="U247" s="290"/>
      <c r="V247" s="290"/>
      <c r="W247" s="290"/>
      <c r="X247" s="290"/>
      <c r="Y247" s="290"/>
      <c r="Z247" s="290"/>
      <c r="AA247" s="290"/>
      <c r="AB247" s="290"/>
      <c r="AC247" s="290"/>
      <c r="AD247" s="291"/>
    </row>
    <row r="248" spans="1:30" ht="33" customHeight="1">
      <c r="A248" s="9"/>
      <c r="B248" s="9"/>
      <c r="C248" s="9"/>
      <c r="D248" s="93" t="s">
        <v>698</v>
      </c>
      <c r="E248" s="42">
        <v>0</v>
      </c>
      <c r="F248" s="42">
        <v>0</v>
      </c>
      <c r="G248" s="42">
        <v>0</v>
      </c>
      <c r="H248" s="42">
        <v>0</v>
      </c>
      <c r="I248" s="42">
        <v>0</v>
      </c>
      <c r="J248" s="42">
        <v>0</v>
      </c>
      <c r="K248" s="42">
        <v>0</v>
      </c>
      <c r="L248" s="42">
        <v>0</v>
      </c>
      <c r="M248" s="150">
        <f t="shared" si="4"/>
        <v>0</v>
      </c>
      <c r="N248" s="45" t="s">
        <v>36</v>
      </c>
      <c r="O248" s="45" t="s">
        <v>266</v>
      </c>
      <c r="P248" s="289" t="s">
        <v>267</v>
      </c>
      <c r="Q248" s="290"/>
      <c r="R248" s="290"/>
      <c r="S248" s="290"/>
      <c r="T248" s="290"/>
      <c r="U248" s="290"/>
      <c r="V248" s="290"/>
      <c r="W248" s="290"/>
      <c r="X248" s="290"/>
      <c r="Y248" s="290"/>
      <c r="Z248" s="290"/>
      <c r="AA248" s="290"/>
      <c r="AB248" s="290"/>
      <c r="AC248" s="290"/>
      <c r="AD248" s="291"/>
    </row>
    <row r="249" spans="1:30" ht="16.5" customHeight="1">
      <c r="A249" s="9"/>
      <c r="B249" s="9"/>
      <c r="C249" s="9"/>
      <c r="D249" s="93" t="s">
        <v>498</v>
      </c>
      <c r="E249" s="42">
        <v>0</v>
      </c>
      <c r="F249" s="42">
        <v>0</v>
      </c>
      <c r="G249" s="42">
        <v>0</v>
      </c>
      <c r="H249" s="42">
        <v>0</v>
      </c>
      <c r="I249" s="42">
        <v>0</v>
      </c>
      <c r="J249" s="42">
        <v>0</v>
      </c>
      <c r="K249" s="42">
        <v>0</v>
      </c>
      <c r="L249" s="42">
        <v>0</v>
      </c>
      <c r="M249" s="150">
        <f t="shared" si="4"/>
        <v>0</v>
      </c>
      <c r="N249" s="45" t="s">
        <v>37</v>
      </c>
      <c r="O249" s="45" t="s">
        <v>688</v>
      </c>
      <c r="P249" s="14"/>
    </row>
    <row r="250" spans="1:30" ht="16.5" customHeight="1">
      <c r="A250" s="9"/>
      <c r="B250" s="9"/>
      <c r="C250" s="9"/>
      <c r="D250" s="93" t="s">
        <v>499</v>
      </c>
      <c r="E250" s="42">
        <v>0</v>
      </c>
      <c r="F250" s="42">
        <v>0</v>
      </c>
      <c r="G250" s="42">
        <v>0</v>
      </c>
      <c r="H250" s="42">
        <v>0</v>
      </c>
      <c r="I250" s="42">
        <v>0</v>
      </c>
      <c r="J250" s="42">
        <v>0</v>
      </c>
      <c r="K250" s="42">
        <v>0</v>
      </c>
      <c r="L250" s="42">
        <v>0</v>
      </c>
      <c r="M250" s="150">
        <f t="shared" si="4"/>
        <v>0</v>
      </c>
      <c r="N250" s="45" t="s">
        <v>38</v>
      </c>
      <c r="O250" s="45" t="s">
        <v>689</v>
      </c>
      <c r="P250" s="14"/>
    </row>
    <row r="251" spans="1:30" ht="36" customHeight="1">
      <c r="A251" s="9"/>
      <c r="B251" s="9"/>
      <c r="C251" s="9"/>
      <c r="D251" s="93" t="s">
        <v>500</v>
      </c>
      <c r="E251" s="42">
        <v>0</v>
      </c>
      <c r="F251" s="42">
        <v>0</v>
      </c>
      <c r="G251" s="42">
        <v>0</v>
      </c>
      <c r="H251" s="42">
        <v>0</v>
      </c>
      <c r="I251" s="42">
        <v>0</v>
      </c>
      <c r="J251" s="42">
        <v>0</v>
      </c>
      <c r="K251" s="42">
        <v>0</v>
      </c>
      <c r="L251" s="42">
        <v>0</v>
      </c>
      <c r="M251" s="150">
        <f t="shared" si="4"/>
        <v>0</v>
      </c>
      <c r="N251" s="45" t="s">
        <v>39</v>
      </c>
      <c r="O251" s="45" t="s">
        <v>690</v>
      </c>
      <c r="P251" s="289" t="s">
        <v>268</v>
      </c>
      <c r="Q251" s="290"/>
      <c r="R251" s="290"/>
      <c r="S251" s="290"/>
      <c r="T251" s="290"/>
      <c r="U251" s="290"/>
      <c r="V251" s="290"/>
      <c r="W251" s="290"/>
      <c r="X251" s="290"/>
      <c r="Y251" s="290"/>
      <c r="Z251" s="290"/>
      <c r="AA251" s="290"/>
      <c r="AB251" s="290"/>
      <c r="AC251" s="290"/>
      <c r="AD251" s="291"/>
    </row>
    <row r="252" spans="1:30" ht="30" customHeight="1">
      <c r="A252" s="9"/>
      <c r="B252" s="9"/>
      <c r="C252" s="9"/>
      <c r="D252" s="93" t="s">
        <v>501</v>
      </c>
      <c r="E252" s="42">
        <v>0</v>
      </c>
      <c r="F252" s="42">
        <v>0</v>
      </c>
      <c r="G252" s="42">
        <v>0</v>
      </c>
      <c r="H252" s="42">
        <v>0</v>
      </c>
      <c r="I252" s="42">
        <v>0</v>
      </c>
      <c r="J252" s="42">
        <v>0</v>
      </c>
      <c r="K252" s="42">
        <v>0</v>
      </c>
      <c r="L252" s="42">
        <v>0</v>
      </c>
      <c r="M252" s="150">
        <f t="shared" si="4"/>
        <v>0</v>
      </c>
      <c r="N252" s="45" t="s">
        <v>40</v>
      </c>
      <c r="O252" s="45" t="s">
        <v>691</v>
      </c>
      <c r="P252" s="289" t="s">
        <v>269</v>
      </c>
      <c r="Q252" s="290"/>
      <c r="R252" s="290"/>
      <c r="S252" s="290"/>
      <c r="T252" s="290"/>
      <c r="U252" s="290"/>
      <c r="V252" s="290"/>
      <c r="W252" s="290"/>
      <c r="X252" s="290"/>
      <c r="Y252" s="290"/>
      <c r="Z252" s="290"/>
      <c r="AA252" s="290"/>
      <c r="AB252" s="290"/>
      <c r="AC252" s="290"/>
      <c r="AD252" s="291"/>
    </row>
    <row r="253" spans="1:30" ht="16.5" customHeight="1">
      <c r="A253" s="9"/>
      <c r="B253" s="9"/>
      <c r="C253" s="9"/>
      <c r="D253" s="93" t="s">
        <v>502</v>
      </c>
      <c r="E253" s="42">
        <v>0</v>
      </c>
      <c r="F253" s="42">
        <v>0</v>
      </c>
      <c r="G253" s="42">
        <v>0</v>
      </c>
      <c r="H253" s="42">
        <v>0</v>
      </c>
      <c r="I253" s="42">
        <v>0</v>
      </c>
      <c r="J253" s="42">
        <v>0</v>
      </c>
      <c r="K253" s="42">
        <v>0</v>
      </c>
      <c r="L253" s="42">
        <v>0</v>
      </c>
      <c r="M253" s="150">
        <f t="shared" si="4"/>
        <v>0</v>
      </c>
      <c r="N253" s="45" t="s">
        <v>41</v>
      </c>
      <c r="O253" s="45" t="s">
        <v>692</v>
      </c>
      <c r="P253" s="289" t="s">
        <v>270</v>
      </c>
      <c r="Q253" s="290"/>
      <c r="R253" s="290"/>
      <c r="S253" s="290"/>
      <c r="T253" s="290"/>
      <c r="U253" s="290"/>
      <c r="V253" s="290"/>
      <c r="W253" s="290"/>
      <c r="X253" s="290"/>
      <c r="Y253" s="290"/>
      <c r="Z253" s="290"/>
      <c r="AA253" s="290"/>
      <c r="AB253" s="290"/>
      <c r="AC253" s="290"/>
      <c r="AD253" s="291"/>
    </row>
    <row r="254" spans="1:30" ht="31" customHeight="1">
      <c r="A254" s="9"/>
      <c r="B254" s="9"/>
      <c r="C254" s="9"/>
      <c r="D254" s="141" t="s">
        <v>503</v>
      </c>
      <c r="E254" s="42">
        <v>0</v>
      </c>
      <c r="F254" s="42">
        <v>0</v>
      </c>
      <c r="G254" s="42">
        <v>0</v>
      </c>
      <c r="H254" s="42">
        <v>0</v>
      </c>
      <c r="I254" s="42">
        <v>0</v>
      </c>
      <c r="J254" s="42">
        <v>0</v>
      </c>
      <c r="K254" s="42">
        <v>0</v>
      </c>
      <c r="L254" s="42">
        <v>0</v>
      </c>
      <c r="M254" s="150">
        <f t="shared" si="4"/>
        <v>0</v>
      </c>
      <c r="N254" s="45" t="s">
        <v>42</v>
      </c>
      <c r="O254" s="45" t="s">
        <v>693</v>
      </c>
      <c r="P254" s="289" t="s">
        <v>271</v>
      </c>
      <c r="Q254" s="290"/>
      <c r="R254" s="290"/>
      <c r="S254" s="290"/>
      <c r="T254" s="290"/>
      <c r="U254" s="290"/>
      <c r="V254" s="290"/>
      <c r="W254" s="290"/>
      <c r="X254" s="290"/>
      <c r="Y254" s="290"/>
      <c r="Z254" s="290"/>
      <c r="AA254" s="290"/>
      <c r="AB254" s="290"/>
      <c r="AC254" s="290"/>
      <c r="AD254" s="291"/>
    </row>
    <row r="255" spans="1:30" ht="33.5" customHeight="1">
      <c r="A255" s="9"/>
      <c r="B255" s="9"/>
      <c r="C255" s="9"/>
      <c r="D255" s="93" t="s">
        <v>504</v>
      </c>
      <c r="E255" s="42">
        <v>0</v>
      </c>
      <c r="F255" s="42">
        <v>0</v>
      </c>
      <c r="G255" s="42">
        <v>0</v>
      </c>
      <c r="H255" s="42">
        <v>0</v>
      </c>
      <c r="I255" s="42">
        <v>0</v>
      </c>
      <c r="J255" s="42">
        <v>0</v>
      </c>
      <c r="K255" s="42">
        <v>0</v>
      </c>
      <c r="L255" s="42">
        <v>0</v>
      </c>
      <c r="M255" s="150">
        <f t="shared" si="4"/>
        <v>0</v>
      </c>
      <c r="N255" s="45" t="s">
        <v>43</v>
      </c>
      <c r="O255" s="45" t="s">
        <v>272</v>
      </c>
      <c r="P255" s="289" t="s">
        <v>273</v>
      </c>
      <c r="Q255" s="290"/>
      <c r="R255" s="290"/>
      <c r="S255" s="290"/>
      <c r="T255" s="290"/>
      <c r="U255" s="290"/>
      <c r="V255" s="290"/>
      <c r="W255" s="290"/>
      <c r="X255" s="290"/>
      <c r="Y255" s="290"/>
      <c r="Z255" s="290"/>
      <c r="AA255" s="290"/>
      <c r="AB255" s="290"/>
      <c r="AC255" s="290"/>
      <c r="AD255" s="291"/>
    </row>
    <row r="256" spans="1:30" ht="16.5" customHeight="1">
      <c r="A256" s="9"/>
      <c r="B256" s="9"/>
      <c r="C256" s="9"/>
      <c r="D256" s="93" t="s">
        <v>505</v>
      </c>
      <c r="E256" s="42">
        <v>0</v>
      </c>
      <c r="F256" s="42">
        <v>0</v>
      </c>
      <c r="G256" s="42">
        <v>0</v>
      </c>
      <c r="H256" s="42">
        <v>0</v>
      </c>
      <c r="I256" s="42">
        <v>0</v>
      </c>
      <c r="J256" s="42">
        <v>0</v>
      </c>
      <c r="K256" s="42">
        <v>0</v>
      </c>
      <c r="L256" s="42">
        <v>0</v>
      </c>
      <c r="M256" s="150">
        <f t="shared" si="4"/>
        <v>0</v>
      </c>
      <c r="N256" s="45" t="s">
        <v>44</v>
      </c>
      <c r="O256" s="45" t="s">
        <v>274</v>
      </c>
      <c r="P256" s="14"/>
    </row>
    <row r="257" spans="1:30" ht="30.5" customHeight="1">
      <c r="A257" s="9"/>
      <c r="B257" s="9"/>
      <c r="C257" s="9"/>
      <c r="D257" s="93" t="s">
        <v>506</v>
      </c>
      <c r="E257" s="42">
        <v>0</v>
      </c>
      <c r="F257" s="42">
        <v>0</v>
      </c>
      <c r="G257" s="42">
        <v>0</v>
      </c>
      <c r="H257" s="42">
        <v>0</v>
      </c>
      <c r="I257" s="42">
        <v>0</v>
      </c>
      <c r="J257" s="42">
        <v>0</v>
      </c>
      <c r="K257" s="42">
        <v>0</v>
      </c>
      <c r="L257" s="42">
        <v>0</v>
      </c>
      <c r="M257" s="150">
        <f>SUM(E257:L257)</f>
        <v>0</v>
      </c>
      <c r="N257" s="45" t="s">
        <v>45</v>
      </c>
      <c r="O257" s="45" t="s">
        <v>694</v>
      </c>
      <c r="P257" s="289" t="s">
        <v>275</v>
      </c>
      <c r="Q257" s="290"/>
      <c r="R257" s="290"/>
      <c r="S257" s="290"/>
      <c r="T257" s="290"/>
      <c r="U257" s="290"/>
      <c r="V257" s="290"/>
      <c r="W257" s="290"/>
      <c r="X257" s="290"/>
      <c r="Y257" s="290"/>
      <c r="Z257" s="290"/>
      <c r="AA257" s="290"/>
      <c r="AB257" s="290"/>
      <c r="AC257" s="290"/>
      <c r="AD257" s="291"/>
    </row>
    <row r="258" spans="1:30" ht="65" customHeight="1">
      <c r="A258" s="9"/>
      <c r="B258" s="9"/>
      <c r="C258" s="9"/>
      <c r="D258" s="93" t="s">
        <v>507</v>
      </c>
      <c r="E258" s="42">
        <v>0</v>
      </c>
      <c r="F258" s="42">
        <v>0</v>
      </c>
      <c r="G258" s="42">
        <v>0</v>
      </c>
      <c r="H258" s="42">
        <v>0</v>
      </c>
      <c r="I258" s="42">
        <v>0</v>
      </c>
      <c r="J258" s="42">
        <v>0</v>
      </c>
      <c r="K258" s="42">
        <v>0</v>
      </c>
      <c r="L258" s="42">
        <v>0</v>
      </c>
      <c r="M258" s="150">
        <f t="shared" si="4"/>
        <v>0</v>
      </c>
      <c r="N258" s="45" t="s">
        <v>46</v>
      </c>
      <c r="O258" s="45" t="s">
        <v>695</v>
      </c>
      <c r="P258" s="289" t="s">
        <v>276</v>
      </c>
      <c r="Q258" s="290"/>
      <c r="R258" s="290"/>
      <c r="S258" s="290"/>
      <c r="T258" s="290"/>
      <c r="U258" s="290"/>
      <c r="V258" s="290"/>
      <c r="W258" s="290"/>
      <c r="X258" s="290"/>
      <c r="Y258" s="290"/>
      <c r="Z258" s="290"/>
      <c r="AA258" s="290"/>
      <c r="AB258" s="290"/>
      <c r="AC258" s="290"/>
      <c r="AD258" s="291"/>
    </row>
    <row r="259" spans="1:30" ht="16.5" customHeight="1">
      <c r="A259" s="9"/>
      <c r="B259" s="9"/>
      <c r="C259" s="9"/>
      <c r="D259" s="93" t="s">
        <v>699</v>
      </c>
      <c r="E259" s="42">
        <v>0</v>
      </c>
      <c r="F259" s="42">
        <v>0</v>
      </c>
      <c r="G259" s="42">
        <v>0</v>
      </c>
      <c r="H259" s="42">
        <v>0</v>
      </c>
      <c r="I259" s="42">
        <v>0</v>
      </c>
      <c r="J259" s="42">
        <v>0</v>
      </c>
      <c r="K259" s="42">
        <v>0</v>
      </c>
      <c r="L259" s="42">
        <v>0</v>
      </c>
      <c r="M259" s="150">
        <f t="shared" si="4"/>
        <v>0</v>
      </c>
      <c r="N259" s="45" t="s">
        <v>47</v>
      </c>
      <c r="O259" s="45" t="s">
        <v>696</v>
      </c>
      <c r="P259" s="289" t="s">
        <v>277</v>
      </c>
      <c r="Q259" s="290"/>
      <c r="R259" s="290"/>
      <c r="S259" s="290"/>
      <c r="T259" s="290"/>
      <c r="U259" s="290"/>
      <c r="V259" s="290"/>
      <c r="W259" s="290"/>
      <c r="X259" s="290"/>
      <c r="Y259" s="290"/>
      <c r="Z259" s="290"/>
      <c r="AA259" s="290"/>
      <c r="AB259" s="290"/>
      <c r="AC259" s="290"/>
      <c r="AD259" s="291"/>
    </row>
    <row r="260" spans="1:30" ht="80.5" customHeight="1">
      <c r="A260" s="9"/>
      <c r="B260" s="9"/>
      <c r="C260" s="9"/>
      <c r="D260" s="93" t="s">
        <v>509</v>
      </c>
      <c r="E260" s="42">
        <v>0</v>
      </c>
      <c r="F260" s="42">
        <v>0</v>
      </c>
      <c r="G260" s="42">
        <v>0</v>
      </c>
      <c r="H260" s="42">
        <v>0</v>
      </c>
      <c r="I260" s="42">
        <v>0</v>
      </c>
      <c r="J260" s="42">
        <v>0</v>
      </c>
      <c r="K260" s="42">
        <v>0</v>
      </c>
      <c r="L260" s="42">
        <v>0</v>
      </c>
      <c r="M260" s="150">
        <f t="shared" si="4"/>
        <v>0</v>
      </c>
      <c r="N260" s="45" t="s">
        <v>48</v>
      </c>
      <c r="O260" s="45" t="s">
        <v>278</v>
      </c>
      <c r="P260" s="289" t="s">
        <v>279</v>
      </c>
      <c r="Q260" s="290"/>
      <c r="R260" s="290"/>
      <c r="S260" s="290"/>
      <c r="T260" s="290"/>
      <c r="U260" s="290"/>
      <c r="V260" s="290"/>
      <c r="W260" s="290"/>
      <c r="X260" s="290"/>
      <c r="Y260" s="290"/>
      <c r="Z260" s="290"/>
      <c r="AA260" s="290"/>
      <c r="AB260" s="290"/>
      <c r="AC260" s="290"/>
      <c r="AD260" s="291"/>
    </row>
    <row r="261" spans="1:30" ht="16.5" customHeight="1" thickBot="1">
      <c r="A261" s="9"/>
      <c r="B261" s="9"/>
      <c r="C261" s="9"/>
      <c r="D261" s="158" t="s">
        <v>281</v>
      </c>
      <c r="E261" s="151">
        <f>E233+SUM(E235:E260)</f>
        <v>238034398</v>
      </c>
      <c r="F261" s="151">
        <f t="shared" ref="F261:M261" si="5">F233+SUM(F235:F260)</f>
        <v>0</v>
      </c>
      <c r="G261" s="151">
        <f t="shared" si="5"/>
        <v>0</v>
      </c>
      <c r="H261" s="151">
        <f t="shared" si="5"/>
        <v>0</v>
      </c>
      <c r="I261" s="151">
        <f t="shared" si="5"/>
        <v>0</v>
      </c>
      <c r="J261" s="151">
        <f t="shared" si="5"/>
        <v>0</v>
      </c>
      <c r="K261" s="151">
        <f t="shared" si="5"/>
        <v>0</v>
      </c>
      <c r="L261" s="151">
        <f t="shared" si="5"/>
        <v>0</v>
      </c>
      <c r="M261" s="152">
        <f t="shared" si="5"/>
        <v>238034398</v>
      </c>
      <c r="N261" s="45" t="s">
        <v>10</v>
      </c>
      <c r="O261" s="45" t="s">
        <v>280</v>
      </c>
    </row>
    <row r="262" spans="1:30" ht="16.5" customHeight="1" thickBot="1">
      <c r="A262" s="9"/>
      <c r="B262" s="9"/>
      <c r="C262" s="9"/>
      <c r="L262" s="7"/>
      <c r="M262" s="7"/>
      <c r="N262" s="7"/>
    </row>
    <row r="263" spans="1:30" ht="16" thickBot="1">
      <c r="A263" s="9"/>
      <c r="B263" s="9"/>
      <c r="C263" s="9"/>
      <c r="D263" s="303" t="s">
        <v>284</v>
      </c>
      <c r="E263" s="304" t="s">
        <v>102</v>
      </c>
      <c r="F263" s="304"/>
      <c r="G263" s="304"/>
      <c r="H263" s="304"/>
      <c r="I263" s="304"/>
      <c r="J263" s="304"/>
      <c r="K263" s="304"/>
      <c r="L263" s="304"/>
      <c r="M263" s="305"/>
      <c r="N263" s="45" t="s">
        <v>282</v>
      </c>
      <c r="O263" s="45" t="s">
        <v>283</v>
      </c>
    </row>
    <row r="264" spans="1:30" ht="16.5" customHeight="1">
      <c r="A264" s="9"/>
      <c r="B264" s="9"/>
      <c r="C264" s="9"/>
      <c r="D264" s="165" t="s">
        <v>286</v>
      </c>
      <c r="E264" s="166" t="str">
        <f>+E232</f>
        <v>Nord Stream AG</v>
      </c>
      <c r="F264" s="166">
        <f t="shared" ref="F264:L264" si="6">+F232</f>
        <v>0</v>
      </c>
      <c r="G264" s="166">
        <f t="shared" si="6"/>
        <v>0</v>
      </c>
      <c r="H264" s="166">
        <f t="shared" si="6"/>
        <v>0</v>
      </c>
      <c r="I264" s="166">
        <f t="shared" si="6"/>
        <v>0</v>
      </c>
      <c r="J264" s="166">
        <f t="shared" si="6"/>
        <v>0</v>
      </c>
      <c r="K264" s="166">
        <f t="shared" si="6"/>
        <v>0</v>
      </c>
      <c r="L264" s="166">
        <f t="shared" si="6"/>
        <v>0</v>
      </c>
      <c r="M264" s="167" t="str">
        <f>+M232</f>
        <v>Total amount</v>
      </c>
      <c r="N264" s="45" t="s">
        <v>245</v>
      </c>
      <c r="O264" s="45" t="s">
        <v>285</v>
      </c>
    </row>
    <row r="265" spans="1:30" ht="48" customHeight="1">
      <c r="A265" s="9"/>
      <c r="B265" s="9"/>
      <c r="C265" s="9"/>
      <c r="D265" s="161" t="s">
        <v>700</v>
      </c>
      <c r="E265" s="42">
        <v>234576534</v>
      </c>
      <c r="F265" s="42">
        <v>0</v>
      </c>
      <c r="G265" s="42">
        <v>0</v>
      </c>
      <c r="H265" s="42">
        <v>0</v>
      </c>
      <c r="I265" s="42">
        <v>0</v>
      </c>
      <c r="J265" s="42">
        <v>0</v>
      </c>
      <c r="K265" s="42">
        <v>0</v>
      </c>
      <c r="L265" s="42">
        <v>0</v>
      </c>
      <c r="M265" s="150">
        <f>SUM(E265:L265)</f>
        <v>234576534</v>
      </c>
      <c r="N265" s="45" t="s">
        <v>7</v>
      </c>
      <c r="O265" s="45" t="s">
        <v>287</v>
      </c>
      <c r="P265" s="289" t="s">
        <v>288</v>
      </c>
      <c r="Q265" s="290"/>
      <c r="R265" s="290"/>
      <c r="S265" s="290"/>
      <c r="T265" s="290"/>
      <c r="U265" s="290"/>
      <c r="V265" s="290"/>
      <c r="W265" s="290"/>
      <c r="X265" s="290"/>
      <c r="Y265" s="290"/>
      <c r="Z265" s="290"/>
      <c r="AA265" s="290"/>
      <c r="AB265" s="290"/>
      <c r="AC265" s="290"/>
      <c r="AD265" s="291"/>
    </row>
    <row r="266" spans="1:30" ht="16.5" customHeight="1">
      <c r="A266" s="9"/>
      <c r="B266" s="9"/>
      <c r="C266" s="9"/>
      <c r="D266" s="161" t="s">
        <v>710</v>
      </c>
      <c r="E266" s="42">
        <v>0</v>
      </c>
      <c r="F266" s="42">
        <v>0</v>
      </c>
      <c r="G266" s="42">
        <v>0</v>
      </c>
      <c r="H266" s="42">
        <v>0</v>
      </c>
      <c r="I266" s="42">
        <v>0</v>
      </c>
      <c r="J266" s="42">
        <v>0</v>
      </c>
      <c r="K266" s="42">
        <v>0</v>
      </c>
      <c r="L266" s="42">
        <v>0</v>
      </c>
      <c r="M266" s="150"/>
      <c r="N266" s="45" t="s">
        <v>289</v>
      </c>
      <c r="O266" s="45" t="s">
        <v>290</v>
      </c>
    </row>
    <row r="267" spans="1:30" ht="16.5" customHeight="1">
      <c r="A267" s="9"/>
      <c r="B267" s="9"/>
      <c r="C267" s="9"/>
      <c r="D267" s="161" t="s">
        <v>701</v>
      </c>
      <c r="E267" s="42" t="s">
        <v>714</v>
      </c>
      <c r="F267" s="42" t="s">
        <v>714</v>
      </c>
      <c r="G267" s="42" t="s">
        <v>714</v>
      </c>
      <c r="H267" s="42" t="s">
        <v>714</v>
      </c>
      <c r="I267" s="42" t="s">
        <v>714</v>
      </c>
      <c r="J267" s="42" t="s">
        <v>714</v>
      </c>
      <c r="K267" s="42" t="s">
        <v>714</v>
      </c>
      <c r="L267" s="42" t="s">
        <v>714</v>
      </c>
      <c r="M267" s="150"/>
      <c r="N267" s="45" t="s">
        <v>291</v>
      </c>
      <c r="O267" s="45" t="s">
        <v>292</v>
      </c>
    </row>
    <row r="268" spans="1:30" ht="16.5" customHeight="1">
      <c r="A268" s="9"/>
      <c r="B268" s="9"/>
      <c r="C268" s="9"/>
      <c r="D268" s="161" t="s">
        <v>702</v>
      </c>
      <c r="E268" s="42" t="s">
        <v>716</v>
      </c>
      <c r="F268" s="42" t="s">
        <v>716</v>
      </c>
      <c r="G268" s="42" t="s">
        <v>716</v>
      </c>
      <c r="H268" s="42" t="s">
        <v>716</v>
      </c>
      <c r="I268" s="42" t="s">
        <v>716</v>
      </c>
      <c r="J268" s="42" t="s">
        <v>716</v>
      </c>
      <c r="K268" s="42" t="s">
        <v>716</v>
      </c>
      <c r="L268" s="42" t="s">
        <v>716</v>
      </c>
      <c r="M268" s="150"/>
      <c r="N268" s="45" t="s">
        <v>293</v>
      </c>
      <c r="O268" s="45" t="s">
        <v>294</v>
      </c>
    </row>
    <row r="269" spans="1:30" ht="16.5" customHeight="1">
      <c r="A269" s="9"/>
      <c r="B269" s="9"/>
      <c r="C269" s="9"/>
      <c r="D269" s="161" t="s">
        <v>703</v>
      </c>
      <c r="E269" s="42">
        <v>0</v>
      </c>
      <c r="F269" s="42">
        <v>0</v>
      </c>
      <c r="G269" s="42">
        <v>0</v>
      </c>
      <c r="H269" s="42">
        <v>0</v>
      </c>
      <c r="I269" s="42">
        <v>0</v>
      </c>
      <c r="J269" s="42">
        <v>0</v>
      </c>
      <c r="K269" s="42">
        <v>0</v>
      </c>
      <c r="L269" s="42">
        <v>0</v>
      </c>
      <c r="M269" s="150">
        <f>SUM(E269:L269)</f>
        <v>0</v>
      </c>
      <c r="N269" s="45" t="s">
        <v>295</v>
      </c>
      <c r="O269" s="45" t="s">
        <v>296</v>
      </c>
    </row>
    <row r="270" spans="1:30" ht="16.5" customHeight="1">
      <c r="A270" s="9"/>
      <c r="B270" s="9"/>
      <c r="C270" s="9"/>
      <c r="D270" s="161" t="s">
        <v>704</v>
      </c>
      <c r="E270" s="42">
        <v>0</v>
      </c>
      <c r="F270" s="42">
        <v>0</v>
      </c>
      <c r="G270" s="42">
        <v>0</v>
      </c>
      <c r="H270" s="42">
        <v>0</v>
      </c>
      <c r="I270" s="42">
        <v>0</v>
      </c>
      <c r="J270" s="42">
        <v>0</v>
      </c>
      <c r="K270" s="42">
        <v>0</v>
      </c>
      <c r="L270" s="42">
        <v>0</v>
      </c>
      <c r="M270" s="150">
        <f>SUM(E270:L270)</f>
        <v>0</v>
      </c>
      <c r="N270" s="45" t="s">
        <v>297</v>
      </c>
      <c r="O270" s="45" t="s">
        <v>298</v>
      </c>
    </row>
    <row r="271" spans="1:30" ht="16.5" customHeight="1" thickBot="1">
      <c r="A271" s="9"/>
      <c r="B271" s="9"/>
      <c r="C271" s="9"/>
      <c r="D271" s="162" t="s">
        <v>705</v>
      </c>
      <c r="E271" s="163">
        <f>+E265+E269+E270</f>
        <v>234576534</v>
      </c>
      <c r="F271" s="163">
        <f t="shared" ref="F271:M271" si="7">+F265+F269+F270</f>
        <v>0</v>
      </c>
      <c r="G271" s="163">
        <f t="shared" si="7"/>
        <v>0</v>
      </c>
      <c r="H271" s="163">
        <f t="shared" si="7"/>
        <v>0</v>
      </c>
      <c r="I271" s="163">
        <f t="shared" si="7"/>
        <v>0</v>
      </c>
      <c r="J271" s="163">
        <f t="shared" si="7"/>
        <v>0</v>
      </c>
      <c r="K271" s="163">
        <f t="shared" si="7"/>
        <v>0</v>
      </c>
      <c r="L271" s="163">
        <f t="shared" si="7"/>
        <v>0</v>
      </c>
      <c r="M271" s="163">
        <f t="shared" si="7"/>
        <v>234576534</v>
      </c>
      <c r="N271" s="45" t="s">
        <v>19</v>
      </c>
      <c r="O271" s="45" t="s">
        <v>299</v>
      </c>
    </row>
    <row r="272" spans="1:30" ht="16" thickBot="1">
      <c r="A272" s="9"/>
      <c r="B272" s="9"/>
      <c r="C272" s="9"/>
      <c r="D272" s="56"/>
      <c r="E272" s="56"/>
      <c r="F272" s="56"/>
      <c r="G272" s="56"/>
      <c r="H272" s="56"/>
      <c r="I272" s="56"/>
      <c r="J272" s="56"/>
      <c r="K272" s="56"/>
      <c r="L272" s="56"/>
      <c r="M272" s="56"/>
      <c r="N272" s="56"/>
    </row>
    <row r="273" spans="1:15" ht="16" thickBot="1">
      <c r="A273" s="9"/>
      <c r="B273" s="9"/>
      <c r="C273" s="9"/>
      <c r="D273" s="361" t="s">
        <v>706</v>
      </c>
      <c r="E273" s="362" t="s">
        <v>102</v>
      </c>
      <c r="F273" s="362"/>
      <c r="G273" s="362"/>
      <c r="H273" s="362"/>
      <c r="I273" s="362"/>
      <c r="J273" s="362"/>
      <c r="K273" s="362"/>
      <c r="L273" s="362"/>
      <c r="M273" s="363"/>
      <c r="N273" s="45" t="s">
        <v>300</v>
      </c>
      <c r="O273" s="45" t="s">
        <v>301</v>
      </c>
    </row>
    <row r="274" spans="1:15">
      <c r="A274" s="9"/>
      <c r="B274" s="9"/>
      <c r="C274" s="9"/>
      <c r="D274" s="168" t="s">
        <v>707</v>
      </c>
      <c r="E274" s="169" t="str">
        <f>+E264</f>
        <v>Nord Stream AG</v>
      </c>
      <c r="F274" s="169">
        <f t="shared" ref="F274:M274" si="8">+F264</f>
        <v>0</v>
      </c>
      <c r="G274" s="169">
        <f t="shared" si="8"/>
        <v>0</v>
      </c>
      <c r="H274" s="169">
        <f t="shared" si="8"/>
        <v>0</v>
      </c>
      <c r="I274" s="169">
        <f t="shared" si="8"/>
        <v>0</v>
      </c>
      <c r="J274" s="169">
        <f t="shared" si="8"/>
        <v>0</v>
      </c>
      <c r="K274" s="169">
        <f t="shared" si="8"/>
        <v>0</v>
      </c>
      <c r="L274" s="169">
        <f t="shared" si="8"/>
        <v>0</v>
      </c>
      <c r="M274" s="170" t="str">
        <f t="shared" si="8"/>
        <v>Total amount</v>
      </c>
      <c r="N274" s="45" t="s">
        <v>245</v>
      </c>
      <c r="O274" s="45" t="s">
        <v>302</v>
      </c>
    </row>
    <row r="275" spans="1:15">
      <c r="A275" s="9"/>
      <c r="B275" s="9"/>
      <c r="C275" s="9"/>
      <c r="D275" s="161" t="s">
        <v>708</v>
      </c>
      <c r="E275" s="42">
        <v>0</v>
      </c>
      <c r="F275" s="42">
        <v>0</v>
      </c>
      <c r="G275" s="42">
        <v>0</v>
      </c>
      <c r="H275" s="42">
        <v>0</v>
      </c>
      <c r="I275" s="42">
        <v>0</v>
      </c>
      <c r="J275" s="42">
        <v>0</v>
      </c>
      <c r="K275" s="42">
        <v>0</v>
      </c>
      <c r="L275" s="42">
        <v>0</v>
      </c>
      <c r="M275" s="150">
        <f>SUM(E275:L275)</f>
        <v>0</v>
      </c>
      <c r="N275" s="45" t="s">
        <v>289</v>
      </c>
      <c r="O275" s="45" t="s">
        <v>303</v>
      </c>
    </row>
    <row r="276" spans="1:15">
      <c r="A276" s="9"/>
      <c r="B276" s="9"/>
      <c r="C276" s="9"/>
      <c r="D276" s="161" t="s">
        <v>305</v>
      </c>
      <c r="E276" s="42">
        <v>0</v>
      </c>
      <c r="F276" s="42">
        <v>0</v>
      </c>
      <c r="G276" s="42">
        <v>0</v>
      </c>
      <c r="H276" s="42">
        <v>0</v>
      </c>
      <c r="I276" s="42">
        <v>0</v>
      </c>
      <c r="J276" s="42">
        <v>0</v>
      </c>
      <c r="K276" s="42">
        <v>0</v>
      </c>
      <c r="L276" s="42">
        <v>0</v>
      </c>
      <c r="M276" s="150">
        <f>SUM(E276:L276)</f>
        <v>0</v>
      </c>
      <c r="N276" s="45" t="s">
        <v>291</v>
      </c>
      <c r="O276" s="45" t="s">
        <v>304</v>
      </c>
    </row>
    <row r="277" spans="1:15">
      <c r="A277" s="9"/>
      <c r="B277" s="9"/>
      <c r="C277" s="9"/>
      <c r="D277" s="161" t="s">
        <v>709</v>
      </c>
      <c r="E277" s="42">
        <v>0</v>
      </c>
      <c r="F277" s="42">
        <v>0</v>
      </c>
      <c r="G277" s="42">
        <v>0</v>
      </c>
      <c r="H277" s="42">
        <v>0</v>
      </c>
      <c r="I277" s="42">
        <v>0</v>
      </c>
      <c r="J277" s="42">
        <v>0</v>
      </c>
      <c r="K277" s="42">
        <v>0</v>
      </c>
      <c r="L277" s="42">
        <v>0</v>
      </c>
      <c r="M277" s="150">
        <f>SUM(E277:L277)</f>
        <v>0</v>
      </c>
      <c r="N277" s="45" t="s">
        <v>293</v>
      </c>
      <c r="O277" s="45" t="s">
        <v>306</v>
      </c>
    </row>
    <row r="278" spans="1:15">
      <c r="A278" s="9"/>
      <c r="B278" s="9"/>
      <c r="C278" s="9"/>
      <c r="D278" s="161" t="s">
        <v>711</v>
      </c>
      <c r="E278" s="172">
        <v>0</v>
      </c>
      <c r="F278" s="172">
        <v>0</v>
      </c>
      <c r="G278" s="172">
        <v>0</v>
      </c>
      <c r="H278" s="172">
        <v>0</v>
      </c>
      <c r="I278" s="172">
        <v>0</v>
      </c>
      <c r="J278" s="172">
        <v>0</v>
      </c>
      <c r="K278" s="172">
        <v>0</v>
      </c>
      <c r="L278" s="172">
        <v>0</v>
      </c>
      <c r="M278" s="150">
        <f>SUM(E278:L278)</f>
        <v>0</v>
      </c>
      <c r="N278" s="45"/>
      <c r="O278" s="45"/>
    </row>
    <row r="279" spans="1:15" ht="25.5" thickBot="1">
      <c r="A279" s="9"/>
      <c r="B279" s="9"/>
      <c r="C279" s="9"/>
      <c r="D279" s="162" t="s">
        <v>712</v>
      </c>
      <c r="E279" s="106">
        <v>0</v>
      </c>
      <c r="F279" s="106">
        <v>0</v>
      </c>
      <c r="G279" s="106">
        <v>0</v>
      </c>
      <c r="H279" s="106">
        <v>0</v>
      </c>
      <c r="I279" s="106">
        <v>0</v>
      </c>
      <c r="J279" s="106">
        <v>0</v>
      </c>
      <c r="K279" s="106">
        <v>0</v>
      </c>
      <c r="L279" s="106">
        <v>0</v>
      </c>
      <c r="M279" s="164">
        <f>SUM(M275:M277)</f>
        <v>0</v>
      </c>
      <c r="N279" s="45" t="s">
        <v>263</v>
      </c>
      <c r="O279" s="45" t="s">
        <v>307</v>
      </c>
    </row>
    <row r="280" spans="1:15" ht="16" thickBot="1">
      <c r="A280" s="56"/>
      <c r="B280" s="56"/>
      <c r="C280" s="56"/>
      <c r="D280" s="56"/>
      <c r="E280" s="56"/>
      <c r="F280" s="56"/>
      <c r="G280" s="56"/>
      <c r="H280" s="56"/>
      <c r="I280" s="56"/>
      <c r="J280" s="56"/>
      <c r="K280" s="56"/>
      <c r="L280" s="56"/>
      <c r="M280" s="56"/>
      <c r="N280" s="56"/>
    </row>
    <row r="281" spans="1:15" ht="16" thickBot="1">
      <c r="A281" s="56"/>
      <c r="B281" s="56"/>
      <c r="C281" s="56"/>
      <c r="D281" s="361" t="s">
        <v>309</v>
      </c>
      <c r="E281" s="362" t="s">
        <v>102</v>
      </c>
      <c r="F281" s="362"/>
      <c r="G281" s="362"/>
      <c r="H281" s="362"/>
      <c r="I281" s="362"/>
      <c r="J281" s="362"/>
      <c r="K281" s="362"/>
      <c r="L281" s="362"/>
      <c r="M281" s="363"/>
      <c r="N281" s="56"/>
      <c r="O281" s="45" t="s">
        <v>308</v>
      </c>
    </row>
    <row r="282" spans="1:15">
      <c r="A282" s="56"/>
      <c r="B282" s="56"/>
      <c r="C282" s="56"/>
      <c r="D282" s="168" t="s">
        <v>713</v>
      </c>
      <c r="E282" s="169" t="str">
        <f>+E274</f>
        <v>Nord Stream AG</v>
      </c>
      <c r="F282" s="169">
        <f t="shared" ref="F282:M282" si="9">+F274</f>
        <v>0</v>
      </c>
      <c r="G282" s="169">
        <f t="shared" si="9"/>
        <v>0</v>
      </c>
      <c r="H282" s="169">
        <f t="shared" si="9"/>
        <v>0</v>
      </c>
      <c r="I282" s="169">
        <f t="shared" si="9"/>
        <v>0</v>
      </c>
      <c r="J282" s="169">
        <f t="shared" si="9"/>
        <v>0</v>
      </c>
      <c r="K282" s="169">
        <f t="shared" si="9"/>
        <v>0</v>
      </c>
      <c r="L282" s="169">
        <f t="shared" si="9"/>
        <v>0</v>
      </c>
      <c r="M282" s="170" t="str">
        <f t="shared" si="9"/>
        <v>Total amount</v>
      </c>
      <c r="N282" s="56"/>
      <c r="O282" s="45" t="s">
        <v>310</v>
      </c>
    </row>
    <row r="283" spans="1:15">
      <c r="A283" s="56"/>
      <c r="B283" s="56"/>
      <c r="C283" s="56"/>
      <c r="D283" s="161" t="s">
        <v>312</v>
      </c>
      <c r="E283" s="42">
        <v>0</v>
      </c>
      <c r="F283" s="42">
        <v>0</v>
      </c>
      <c r="G283" s="42">
        <v>0</v>
      </c>
      <c r="H283" s="42">
        <v>0</v>
      </c>
      <c r="I283" s="42">
        <v>0</v>
      </c>
      <c r="J283" s="42">
        <v>0</v>
      </c>
      <c r="K283" s="42">
        <v>0</v>
      </c>
      <c r="L283" s="42">
        <v>0</v>
      </c>
      <c r="M283" s="150">
        <f>SUM(E283:L283)</f>
        <v>0</v>
      </c>
      <c r="N283" s="56"/>
      <c r="O283" s="45" t="s">
        <v>311</v>
      </c>
    </row>
    <row r="284" spans="1:15">
      <c r="A284" s="56"/>
      <c r="B284" s="56"/>
      <c r="C284" s="56"/>
      <c r="D284" s="161" t="s">
        <v>314</v>
      </c>
      <c r="E284" s="42" t="s">
        <v>714</v>
      </c>
      <c r="F284" s="42" t="s">
        <v>714</v>
      </c>
      <c r="G284" s="42" t="s">
        <v>714</v>
      </c>
      <c r="H284" s="42" t="s">
        <v>714</v>
      </c>
      <c r="I284" s="42" t="s">
        <v>714</v>
      </c>
      <c r="J284" s="42" t="s">
        <v>714</v>
      </c>
      <c r="K284" s="42" t="s">
        <v>714</v>
      </c>
      <c r="L284" s="42" t="s">
        <v>714</v>
      </c>
      <c r="M284" s="150"/>
      <c r="N284" s="56"/>
      <c r="O284" s="45" t="s">
        <v>313</v>
      </c>
    </row>
    <row r="285" spans="1:15">
      <c r="A285" s="56"/>
      <c r="B285" s="56"/>
      <c r="C285" s="56"/>
      <c r="D285" s="161" t="s">
        <v>316</v>
      </c>
      <c r="E285" s="42" t="s">
        <v>715</v>
      </c>
      <c r="F285" s="42" t="s">
        <v>715</v>
      </c>
      <c r="G285" s="42" t="s">
        <v>715</v>
      </c>
      <c r="H285" s="42" t="s">
        <v>715</v>
      </c>
      <c r="I285" s="42" t="s">
        <v>715</v>
      </c>
      <c r="J285" s="42" t="s">
        <v>715</v>
      </c>
      <c r="K285" s="42" t="s">
        <v>715</v>
      </c>
      <c r="L285" s="42" t="s">
        <v>715</v>
      </c>
      <c r="M285" s="150"/>
      <c r="N285" s="56"/>
      <c r="O285" s="45" t="s">
        <v>315</v>
      </c>
    </row>
    <row r="286" spans="1:15" ht="16" thickBot="1">
      <c r="A286" s="56"/>
      <c r="B286" s="56"/>
      <c r="C286" s="56"/>
      <c r="D286" s="162" t="s">
        <v>318</v>
      </c>
      <c r="E286" s="106">
        <v>0</v>
      </c>
      <c r="F286" s="106">
        <v>0</v>
      </c>
      <c r="G286" s="106">
        <v>0</v>
      </c>
      <c r="H286" s="106">
        <v>0</v>
      </c>
      <c r="I286" s="106">
        <v>0</v>
      </c>
      <c r="J286" s="106"/>
      <c r="K286" s="106"/>
      <c r="L286" s="106"/>
      <c r="M286" s="164">
        <f>SUM(E286:L286)</f>
        <v>0</v>
      </c>
      <c r="N286" s="56"/>
      <c r="O286" s="45" t="s">
        <v>317</v>
      </c>
    </row>
    <row r="287" spans="1:15">
      <c r="A287" s="56"/>
      <c r="B287" s="56"/>
      <c r="C287" s="56"/>
      <c r="D287" s="2"/>
      <c r="E287" s="56"/>
      <c r="F287" s="56"/>
      <c r="G287" s="56"/>
      <c r="H287" s="56"/>
      <c r="I287" s="56"/>
      <c r="J287" s="56"/>
      <c r="K287" s="56"/>
      <c r="L287" s="56"/>
      <c r="M287" s="56"/>
      <c r="N287" s="56"/>
    </row>
    <row r="288" spans="1:15" ht="16" thickBot="1">
      <c r="A288" s="56"/>
      <c r="B288" s="56"/>
      <c r="C288" s="56"/>
      <c r="E288" s="56"/>
      <c r="F288" s="56"/>
      <c r="G288" s="56"/>
      <c r="H288" s="56"/>
      <c r="I288" s="56"/>
      <c r="J288" s="56"/>
      <c r="K288" s="56"/>
      <c r="L288" s="56"/>
      <c r="M288" s="56"/>
      <c r="N288" s="56"/>
    </row>
    <row r="289" spans="1:30" ht="16" thickBot="1">
      <c r="A289" s="56"/>
      <c r="B289" s="56"/>
      <c r="C289" s="56"/>
      <c r="D289" s="296" t="s">
        <v>319</v>
      </c>
      <c r="E289" s="297"/>
      <c r="F289" s="297"/>
      <c r="G289" s="297"/>
      <c r="H289" s="297"/>
      <c r="I289" s="297"/>
      <c r="J289" s="297"/>
      <c r="K289" s="297"/>
      <c r="L289" s="297"/>
      <c r="M289" s="298"/>
      <c r="N289" s="7"/>
    </row>
    <row r="290" spans="1:30" ht="16" thickBot="1">
      <c r="A290" s="56"/>
      <c r="B290" s="56"/>
      <c r="C290" s="56"/>
      <c r="D290" s="296" t="s">
        <v>321</v>
      </c>
      <c r="E290" s="297"/>
      <c r="F290" s="297"/>
      <c r="G290" s="297"/>
      <c r="H290" s="297"/>
      <c r="I290" s="297"/>
      <c r="J290" s="297"/>
      <c r="K290" s="297"/>
      <c r="L290" s="297"/>
      <c r="M290" s="298"/>
      <c r="N290" s="45"/>
      <c r="O290" s="45" t="s">
        <v>320</v>
      </c>
    </row>
    <row r="291" spans="1:30">
      <c r="A291" s="56"/>
      <c r="B291" s="56"/>
      <c r="C291" s="56"/>
      <c r="D291" s="174" t="s">
        <v>247</v>
      </c>
      <c r="E291" s="169" t="str">
        <f>+E282</f>
        <v>Nord Stream AG</v>
      </c>
      <c r="F291" s="169">
        <f t="shared" ref="F291:M291" si="10">+F282</f>
        <v>0</v>
      </c>
      <c r="G291" s="169">
        <f t="shared" si="10"/>
        <v>0</v>
      </c>
      <c r="H291" s="169">
        <f t="shared" si="10"/>
        <v>0</v>
      </c>
      <c r="I291" s="169">
        <f t="shared" si="10"/>
        <v>0</v>
      </c>
      <c r="J291" s="169">
        <f t="shared" si="10"/>
        <v>0</v>
      </c>
      <c r="K291" s="169">
        <f t="shared" si="10"/>
        <v>0</v>
      </c>
      <c r="L291" s="169">
        <f t="shared" si="10"/>
        <v>0</v>
      </c>
      <c r="M291" s="170" t="str">
        <f t="shared" si="10"/>
        <v>Total amount</v>
      </c>
      <c r="N291" s="45"/>
      <c r="O291" s="45" t="s">
        <v>322</v>
      </c>
    </row>
    <row r="292" spans="1:30" ht="16.5" customHeight="1">
      <c r="A292" s="56"/>
      <c r="B292" s="56"/>
      <c r="C292" s="56"/>
      <c r="D292" s="175" t="s">
        <v>325</v>
      </c>
      <c r="E292" s="173">
        <f>+E321</f>
        <v>3457864</v>
      </c>
      <c r="F292" s="173">
        <f t="shared" ref="F292:L292" si="11">+F321</f>
        <v>0</v>
      </c>
      <c r="G292" s="173">
        <f>+G321</f>
        <v>0</v>
      </c>
      <c r="H292" s="173">
        <f t="shared" si="11"/>
        <v>0</v>
      </c>
      <c r="I292" s="173">
        <f t="shared" si="11"/>
        <v>0</v>
      </c>
      <c r="J292" s="173">
        <f t="shared" si="11"/>
        <v>0</v>
      </c>
      <c r="K292" s="173">
        <f t="shared" si="11"/>
        <v>0</v>
      </c>
      <c r="L292" s="173">
        <f t="shared" si="11"/>
        <v>0</v>
      </c>
      <c r="M292" s="150">
        <f>SUM(E292:L292)</f>
        <v>3457864</v>
      </c>
      <c r="N292" s="45" t="s">
        <v>53</v>
      </c>
      <c r="O292" s="45" t="s">
        <v>324</v>
      </c>
    </row>
    <row r="293" spans="1:30">
      <c r="A293" s="56"/>
      <c r="B293" s="56"/>
      <c r="C293" s="56"/>
      <c r="D293" s="300" t="s">
        <v>250</v>
      </c>
      <c r="E293" s="301"/>
      <c r="F293" s="301"/>
      <c r="G293" s="301"/>
      <c r="H293" s="301"/>
      <c r="I293" s="301"/>
      <c r="J293" s="301"/>
      <c r="K293" s="301"/>
      <c r="L293" s="301"/>
      <c r="M293" s="302"/>
      <c r="N293" s="45" t="s">
        <v>137</v>
      </c>
      <c r="O293" s="45" t="s">
        <v>717</v>
      </c>
    </row>
    <row r="294" spans="1:30" ht="31" customHeight="1">
      <c r="A294" s="56"/>
      <c r="B294" s="56"/>
      <c r="C294" s="56"/>
      <c r="D294" s="24" t="s">
        <v>539</v>
      </c>
      <c r="E294" s="42">
        <v>0</v>
      </c>
      <c r="F294" s="42">
        <v>0</v>
      </c>
      <c r="G294" s="42">
        <v>0</v>
      </c>
      <c r="H294" s="42">
        <v>0</v>
      </c>
      <c r="I294" s="42">
        <v>0</v>
      </c>
      <c r="J294" s="42"/>
      <c r="K294" s="42"/>
      <c r="L294" s="42"/>
      <c r="M294" s="150">
        <f>SUM(E294:L294)</f>
        <v>0</v>
      </c>
      <c r="N294" s="45" t="s">
        <v>57</v>
      </c>
      <c r="O294" s="45" t="s">
        <v>718</v>
      </c>
      <c r="P294" s="289" t="s">
        <v>326</v>
      </c>
      <c r="Q294" s="290"/>
      <c r="R294" s="290"/>
      <c r="S294" s="290"/>
      <c r="T294" s="290"/>
      <c r="U294" s="290"/>
      <c r="V294" s="290"/>
      <c r="W294" s="290"/>
      <c r="X294" s="290"/>
      <c r="Y294" s="290"/>
      <c r="Z294" s="290"/>
      <c r="AA294" s="290"/>
      <c r="AB294" s="290"/>
      <c r="AC294" s="290"/>
      <c r="AD294" s="291"/>
    </row>
    <row r="295" spans="1:30" ht="52" customHeight="1">
      <c r="A295" s="56"/>
      <c r="B295" s="56"/>
      <c r="C295" s="56"/>
      <c r="D295" s="24" t="s">
        <v>730</v>
      </c>
      <c r="E295" s="42">
        <v>0</v>
      </c>
      <c r="F295" s="42">
        <v>0</v>
      </c>
      <c r="G295" s="42">
        <v>0</v>
      </c>
      <c r="H295" s="42">
        <v>0</v>
      </c>
      <c r="I295" s="42">
        <v>0</v>
      </c>
      <c r="J295" s="42"/>
      <c r="K295" s="42"/>
      <c r="L295" s="42"/>
      <c r="M295" s="150">
        <f t="shared" ref="M295:M310" si="12">SUM(E295:L295)</f>
        <v>0</v>
      </c>
      <c r="N295" s="45" t="s">
        <v>61</v>
      </c>
      <c r="O295" s="45" t="s">
        <v>719</v>
      </c>
      <c r="P295" s="289" t="s">
        <v>327</v>
      </c>
      <c r="Q295" s="290"/>
      <c r="R295" s="290"/>
      <c r="S295" s="290"/>
      <c r="T295" s="290"/>
      <c r="U295" s="290"/>
      <c r="V295" s="290"/>
      <c r="W295" s="290"/>
      <c r="X295" s="290"/>
      <c r="Y295" s="290"/>
      <c r="Z295" s="290"/>
      <c r="AA295" s="290"/>
      <c r="AB295" s="290"/>
      <c r="AC295" s="290"/>
      <c r="AD295" s="291"/>
    </row>
    <row r="296" spans="1:30" ht="56.5" customHeight="1">
      <c r="A296" s="56"/>
      <c r="B296" s="56"/>
      <c r="C296" s="56"/>
      <c r="D296" s="24" t="s">
        <v>731</v>
      </c>
      <c r="E296" s="42">
        <v>0</v>
      </c>
      <c r="F296" s="42">
        <v>0</v>
      </c>
      <c r="G296" s="42">
        <v>0</v>
      </c>
      <c r="H296" s="42">
        <v>0</v>
      </c>
      <c r="I296" s="42">
        <v>0</v>
      </c>
      <c r="J296" s="42"/>
      <c r="K296" s="42"/>
      <c r="L296" s="42"/>
      <c r="M296" s="150">
        <f t="shared" si="12"/>
        <v>0</v>
      </c>
      <c r="N296" s="45" t="s">
        <v>63</v>
      </c>
      <c r="O296" s="45" t="s">
        <v>328</v>
      </c>
      <c r="P296" s="289" t="s">
        <v>329</v>
      </c>
      <c r="Q296" s="290"/>
      <c r="R296" s="290"/>
      <c r="S296" s="290"/>
      <c r="T296" s="290"/>
      <c r="U296" s="290"/>
      <c r="V296" s="290"/>
      <c r="W296" s="290"/>
      <c r="X296" s="290"/>
      <c r="Y296" s="290"/>
      <c r="Z296" s="290"/>
      <c r="AA296" s="290"/>
      <c r="AB296" s="290"/>
      <c r="AC296" s="290"/>
      <c r="AD296" s="291"/>
    </row>
    <row r="297" spans="1:30" ht="41" customHeight="1">
      <c r="A297" s="56"/>
      <c r="B297" s="56"/>
      <c r="C297" s="56"/>
      <c r="D297" s="24" t="s">
        <v>734</v>
      </c>
      <c r="E297" s="42">
        <v>0</v>
      </c>
      <c r="F297" s="42">
        <v>0</v>
      </c>
      <c r="G297" s="42">
        <v>0</v>
      </c>
      <c r="H297" s="42">
        <v>0</v>
      </c>
      <c r="I297" s="42">
        <v>0</v>
      </c>
      <c r="J297" s="42"/>
      <c r="K297" s="42"/>
      <c r="L297" s="42"/>
      <c r="M297" s="150">
        <f t="shared" si="12"/>
        <v>0</v>
      </c>
      <c r="N297" s="45" t="s">
        <v>66</v>
      </c>
      <c r="O297" s="45" t="s">
        <v>720</v>
      </c>
      <c r="P297" s="289" t="s">
        <v>330</v>
      </c>
      <c r="Q297" s="290"/>
      <c r="R297" s="290"/>
      <c r="S297" s="290"/>
      <c r="T297" s="290"/>
      <c r="U297" s="290"/>
      <c r="V297" s="290"/>
      <c r="W297" s="290"/>
      <c r="X297" s="290"/>
      <c r="Y297" s="290"/>
      <c r="Z297" s="290"/>
      <c r="AA297" s="290"/>
      <c r="AB297" s="290"/>
      <c r="AC297" s="290"/>
      <c r="AD297" s="291"/>
    </row>
    <row r="298" spans="1:30" ht="36.5" customHeight="1">
      <c r="A298" s="56"/>
      <c r="B298" s="56"/>
      <c r="C298" s="56"/>
      <c r="D298" s="24" t="s">
        <v>732</v>
      </c>
      <c r="E298" s="42">
        <v>0</v>
      </c>
      <c r="F298" s="42">
        <v>0</v>
      </c>
      <c r="G298" s="42">
        <v>0</v>
      </c>
      <c r="H298" s="42">
        <v>0</v>
      </c>
      <c r="I298" s="42">
        <v>0</v>
      </c>
      <c r="J298" s="42"/>
      <c r="K298" s="42"/>
      <c r="L298" s="42"/>
      <c r="M298" s="150">
        <f t="shared" si="12"/>
        <v>0</v>
      </c>
      <c r="N298" s="45" t="s">
        <v>68</v>
      </c>
      <c r="O298" s="45" t="s">
        <v>721</v>
      </c>
      <c r="P298" s="289" t="s">
        <v>331</v>
      </c>
      <c r="Q298" s="290"/>
      <c r="R298" s="290"/>
      <c r="S298" s="290"/>
      <c r="T298" s="290"/>
      <c r="U298" s="290"/>
      <c r="V298" s="290"/>
      <c r="W298" s="290"/>
      <c r="X298" s="290"/>
      <c r="Y298" s="290"/>
      <c r="Z298" s="290"/>
      <c r="AA298" s="290"/>
      <c r="AB298" s="290"/>
      <c r="AC298" s="290"/>
      <c r="AD298" s="291"/>
    </row>
    <row r="299" spans="1:30" ht="31">
      <c r="A299" s="56"/>
      <c r="B299" s="56"/>
      <c r="C299" s="56"/>
      <c r="D299" s="24" t="s">
        <v>733</v>
      </c>
      <c r="E299" s="42">
        <v>0</v>
      </c>
      <c r="F299" s="42">
        <v>0</v>
      </c>
      <c r="G299" s="42">
        <v>0</v>
      </c>
      <c r="H299" s="42">
        <v>0</v>
      </c>
      <c r="I299" s="42">
        <v>0</v>
      </c>
      <c r="J299" s="42"/>
      <c r="K299" s="42"/>
      <c r="L299" s="42"/>
      <c r="M299" s="150">
        <f t="shared" si="12"/>
        <v>0</v>
      </c>
      <c r="N299" s="45" t="s">
        <v>70</v>
      </c>
      <c r="O299" s="45" t="s">
        <v>332</v>
      </c>
      <c r="P299" s="289" t="s">
        <v>333</v>
      </c>
      <c r="Q299" s="290"/>
      <c r="R299" s="290"/>
      <c r="S299" s="290"/>
      <c r="T299" s="290"/>
      <c r="U299" s="290"/>
      <c r="V299" s="290"/>
      <c r="W299" s="290"/>
      <c r="X299" s="290"/>
      <c r="Y299" s="290"/>
      <c r="Z299" s="290"/>
      <c r="AA299" s="290"/>
      <c r="AB299" s="290"/>
      <c r="AC299" s="290"/>
      <c r="AD299" s="291"/>
    </row>
    <row r="300" spans="1:30" ht="31" customHeight="1">
      <c r="A300" s="56"/>
      <c r="B300" s="56"/>
      <c r="C300" s="56"/>
      <c r="D300" s="24" t="s">
        <v>735</v>
      </c>
      <c r="E300" s="42">
        <v>0</v>
      </c>
      <c r="F300" s="42">
        <v>0</v>
      </c>
      <c r="G300" s="42">
        <v>0</v>
      </c>
      <c r="H300" s="42">
        <v>0</v>
      </c>
      <c r="I300" s="42">
        <v>0</v>
      </c>
      <c r="J300" s="42"/>
      <c r="K300" s="42"/>
      <c r="L300" s="42"/>
      <c r="M300" s="150">
        <f t="shared" si="12"/>
        <v>0</v>
      </c>
      <c r="N300" s="45" t="s">
        <v>73</v>
      </c>
      <c r="O300" s="45" t="s">
        <v>334</v>
      </c>
      <c r="P300" s="289" t="s">
        <v>335</v>
      </c>
      <c r="Q300" s="290"/>
      <c r="R300" s="290"/>
      <c r="S300" s="290"/>
      <c r="T300" s="290"/>
      <c r="U300" s="290"/>
      <c r="V300" s="290"/>
      <c r="W300" s="290"/>
      <c r="X300" s="290"/>
      <c r="Y300" s="290"/>
      <c r="Z300" s="290"/>
      <c r="AA300" s="290"/>
      <c r="AB300" s="290"/>
      <c r="AC300" s="290"/>
      <c r="AD300" s="291"/>
    </row>
    <row r="301" spans="1:30" ht="16.5" customHeight="1">
      <c r="A301" s="56"/>
      <c r="B301" s="56"/>
      <c r="C301" s="56"/>
      <c r="D301" s="24" t="s">
        <v>736</v>
      </c>
      <c r="E301" s="42">
        <v>0</v>
      </c>
      <c r="F301" s="42">
        <v>0</v>
      </c>
      <c r="G301" s="42">
        <v>0</v>
      </c>
      <c r="H301" s="42">
        <v>0</v>
      </c>
      <c r="I301" s="42">
        <v>0</v>
      </c>
      <c r="J301" s="42"/>
      <c r="K301" s="42"/>
      <c r="L301" s="42"/>
      <c r="M301" s="150">
        <f t="shared" si="12"/>
        <v>0</v>
      </c>
      <c r="N301" s="45" t="s">
        <v>76</v>
      </c>
      <c r="O301" s="45" t="s">
        <v>722</v>
      </c>
      <c r="P301" s="289" t="s">
        <v>336</v>
      </c>
      <c r="Q301" s="290"/>
      <c r="R301" s="290"/>
      <c r="S301" s="290"/>
      <c r="T301" s="290"/>
      <c r="U301" s="290"/>
      <c r="V301" s="290"/>
      <c r="W301" s="290"/>
      <c r="X301" s="290"/>
      <c r="Y301" s="290"/>
      <c r="Z301" s="290"/>
      <c r="AA301" s="290"/>
      <c r="AB301" s="290"/>
      <c r="AC301" s="290"/>
      <c r="AD301" s="291"/>
    </row>
    <row r="302" spans="1:30" ht="31" customHeight="1">
      <c r="A302" s="56"/>
      <c r="B302" s="56"/>
      <c r="C302" s="56"/>
      <c r="D302" s="24" t="s">
        <v>737</v>
      </c>
      <c r="E302" s="42">
        <v>0</v>
      </c>
      <c r="F302" s="42">
        <v>0</v>
      </c>
      <c r="G302" s="42">
        <v>0</v>
      </c>
      <c r="H302" s="42">
        <v>0</v>
      </c>
      <c r="I302" s="42">
        <v>0</v>
      </c>
      <c r="J302" s="42"/>
      <c r="K302" s="42"/>
      <c r="L302" s="42"/>
      <c r="M302" s="150">
        <f t="shared" si="12"/>
        <v>0</v>
      </c>
      <c r="N302" s="45" t="s">
        <v>78</v>
      </c>
      <c r="O302" s="45" t="s">
        <v>723</v>
      </c>
      <c r="P302" s="289" t="s">
        <v>337</v>
      </c>
      <c r="Q302" s="290"/>
      <c r="R302" s="290"/>
      <c r="S302" s="290"/>
      <c r="T302" s="290"/>
      <c r="U302" s="290"/>
      <c r="V302" s="290"/>
      <c r="W302" s="290"/>
      <c r="X302" s="290"/>
      <c r="Y302" s="290"/>
      <c r="Z302" s="290"/>
      <c r="AA302" s="290"/>
      <c r="AB302" s="290"/>
      <c r="AC302" s="290"/>
      <c r="AD302" s="291"/>
    </row>
    <row r="303" spans="1:30" ht="16.5" customHeight="1">
      <c r="A303" s="56"/>
      <c r="B303" s="56"/>
      <c r="C303" s="56"/>
      <c r="D303" s="24" t="s">
        <v>738</v>
      </c>
      <c r="E303" s="42">
        <v>0</v>
      </c>
      <c r="F303" s="42">
        <v>0</v>
      </c>
      <c r="G303" s="42">
        <v>0</v>
      </c>
      <c r="H303" s="42">
        <v>0</v>
      </c>
      <c r="I303" s="42">
        <v>0</v>
      </c>
      <c r="J303" s="42">
        <v>0</v>
      </c>
      <c r="K303" s="42">
        <v>0</v>
      </c>
      <c r="L303" s="42">
        <v>0</v>
      </c>
      <c r="M303" s="150">
        <f t="shared" si="12"/>
        <v>0</v>
      </c>
      <c r="N303" s="45" t="s">
        <v>80</v>
      </c>
      <c r="O303" s="45" t="s">
        <v>724</v>
      </c>
      <c r="P303" s="289" t="s">
        <v>338</v>
      </c>
      <c r="Q303" s="290"/>
      <c r="R303" s="290"/>
      <c r="S303" s="290"/>
      <c r="T303" s="290"/>
      <c r="U303" s="290"/>
      <c r="V303" s="290"/>
      <c r="W303" s="290"/>
      <c r="X303" s="290"/>
      <c r="Y303" s="290"/>
      <c r="Z303" s="290"/>
      <c r="AA303" s="290"/>
      <c r="AB303" s="290"/>
      <c r="AC303" s="290"/>
      <c r="AD303" s="291"/>
    </row>
    <row r="304" spans="1:30" ht="16.5" customHeight="1">
      <c r="A304" s="56"/>
      <c r="B304" s="56"/>
      <c r="C304" s="56"/>
      <c r="D304" s="24" t="s">
        <v>739</v>
      </c>
      <c r="E304" s="42">
        <v>0</v>
      </c>
      <c r="F304" s="42">
        <v>0</v>
      </c>
      <c r="G304" s="42">
        <v>0</v>
      </c>
      <c r="H304" s="42">
        <v>0</v>
      </c>
      <c r="I304" s="42">
        <v>0</v>
      </c>
      <c r="J304" s="42">
        <v>0</v>
      </c>
      <c r="K304" s="42">
        <v>0</v>
      </c>
      <c r="L304" s="42">
        <v>0</v>
      </c>
      <c r="M304" s="150">
        <f t="shared" si="12"/>
        <v>0</v>
      </c>
      <c r="N304" s="45" t="s">
        <v>82</v>
      </c>
      <c r="O304" s="45" t="s">
        <v>725</v>
      </c>
      <c r="P304" s="289" t="s">
        <v>339</v>
      </c>
      <c r="Q304" s="290"/>
      <c r="R304" s="290"/>
      <c r="S304" s="290"/>
      <c r="T304" s="290"/>
      <c r="U304" s="290"/>
      <c r="V304" s="290"/>
      <c r="W304" s="290"/>
      <c r="X304" s="290"/>
      <c r="Y304" s="290"/>
      <c r="Z304" s="290"/>
      <c r="AA304" s="290"/>
      <c r="AB304" s="290"/>
      <c r="AC304" s="290"/>
      <c r="AD304" s="291"/>
    </row>
    <row r="305" spans="1:30" ht="16.5" customHeight="1">
      <c r="A305" s="56"/>
      <c r="B305" s="56"/>
      <c r="C305" s="56"/>
      <c r="D305" s="24" t="s">
        <v>740</v>
      </c>
      <c r="E305" s="42">
        <v>0</v>
      </c>
      <c r="F305" s="42">
        <v>0</v>
      </c>
      <c r="G305" s="42">
        <v>0</v>
      </c>
      <c r="H305" s="42">
        <v>0</v>
      </c>
      <c r="I305" s="42">
        <v>0</v>
      </c>
      <c r="J305" s="42">
        <v>0</v>
      </c>
      <c r="K305" s="42">
        <v>0</v>
      </c>
      <c r="L305" s="42">
        <v>0</v>
      </c>
      <c r="M305" s="150">
        <f t="shared" si="12"/>
        <v>0</v>
      </c>
      <c r="N305" s="45" t="s">
        <v>84</v>
      </c>
      <c r="O305" s="45" t="s">
        <v>726</v>
      </c>
      <c r="P305" s="14"/>
    </row>
    <row r="306" spans="1:30" ht="16.5" customHeight="1">
      <c r="A306" s="56"/>
      <c r="B306" s="56"/>
      <c r="C306" s="56"/>
      <c r="D306" s="24" t="s">
        <v>549</v>
      </c>
      <c r="E306" s="42">
        <v>0</v>
      </c>
      <c r="F306" s="42">
        <v>0</v>
      </c>
      <c r="G306" s="42">
        <v>0</v>
      </c>
      <c r="H306" s="42">
        <v>0</v>
      </c>
      <c r="I306" s="42">
        <v>0</v>
      </c>
      <c r="J306" s="42">
        <v>0</v>
      </c>
      <c r="K306" s="42">
        <v>0</v>
      </c>
      <c r="L306" s="42">
        <v>0</v>
      </c>
      <c r="M306" s="150">
        <f t="shared" si="12"/>
        <v>0</v>
      </c>
      <c r="N306" s="45" t="s">
        <v>86</v>
      </c>
      <c r="O306" s="45" t="s">
        <v>727</v>
      </c>
      <c r="P306" s="14"/>
    </row>
    <row r="307" spans="1:30" ht="86" customHeight="1">
      <c r="A307" s="56"/>
      <c r="B307" s="56"/>
      <c r="C307" s="56"/>
      <c r="D307" s="24" t="s">
        <v>741</v>
      </c>
      <c r="E307" s="42">
        <v>0</v>
      </c>
      <c r="F307" s="42">
        <v>0</v>
      </c>
      <c r="G307" s="42">
        <v>0</v>
      </c>
      <c r="H307" s="42">
        <v>0</v>
      </c>
      <c r="I307" s="42">
        <v>0</v>
      </c>
      <c r="J307" s="42">
        <v>0</v>
      </c>
      <c r="K307" s="42">
        <v>0</v>
      </c>
      <c r="L307" s="42">
        <v>0</v>
      </c>
      <c r="M307" s="150">
        <f t="shared" si="12"/>
        <v>0</v>
      </c>
      <c r="N307" s="45" t="s">
        <v>88</v>
      </c>
      <c r="O307" s="45" t="s">
        <v>340</v>
      </c>
      <c r="P307" s="289" t="s">
        <v>341</v>
      </c>
      <c r="Q307" s="290"/>
      <c r="R307" s="290"/>
      <c r="S307" s="290"/>
      <c r="T307" s="290"/>
      <c r="U307" s="290"/>
      <c r="V307" s="290"/>
      <c r="W307" s="290"/>
      <c r="X307" s="290"/>
      <c r="Y307" s="290"/>
      <c r="Z307" s="290"/>
      <c r="AA307" s="290"/>
      <c r="AB307" s="290"/>
      <c r="AC307" s="290"/>
      <c r="AD307" s="291"/>
    </row>
    <row r="308" spans="1:30" ht="71.5" customHeight="1">
      <c r="A308" s="56"/>
      <c r="B308" s="56"/>
      <c r="C308" s="56"/>
      <c r="D308" s="24" t="s">
        <v>742</v>
      </c>
      <c r="E308" s="42">
        <v>0</v>
      </c>
      <c r="F308" s="42">
        <v>0</v>
      </c>
      <c r="G308" s="42">
        <v>0</v>
      </c>
      <c r="H308" s="42">
        <v>0</v>
      </c>
      <c r="I308" s="42">
        <v>0</v>
      </c>
      <c r="J308" s="42">
        <v>0</v>
      </c>
      <c r="K308" s="42">
        <v>0</v>
      </c>
      <c r="L308" s="42">
        <v>0</v>
      </c>
      <c r="M308" s="150">
        <f t="shared" si="12"/>
        <v>0</v>
      </c>
      <c r="N308" s="45" t="s">
        <v>90</v>
      </c>
      <c r="O308" s="45" t="s">
        <v>728</v>
      </c>
      <c r="P308" s="289" t="s">
        <v>342</v>
      </c>
      <c r="Q308" s="290"/>
      <c r="R308" s="290"/>
      <c r="S308" s="290"/>
      <c r="T308" s="290"/>
      <c r="U308" s="290"/>
      <c r="V308" s="290"/>
      <c r="W308" s="290"/>
      <c r="X308" s="290"/>
      <c r="Y308" s="290"/>
      <c r="Z308" s="290"/>
      <c r="AA308" s="290"/>
      <c r="AB308" s="290"/>
      <c r="AC308" s="290"/>
      <c r="AD308" s="291"/>
    </row>
    <row r="309" spans="1:30" ht="16.5" customHeight="1">
      <c r="A309" s="56"/>
      <c r="B309" s="56"/>
      <c r="C309" s="56"/>
      <c r="D309" s="24" t="s">
        <v>743</v>
      </c>
      <c r="E309" s="262">
        <f>+E346</f>
        <v>124324</v>
      </c>
      <c r="F309" s="262">
        <f t="shared" ref="F309:L309" si="13">+F346</f>
        <v>0</v>
      </c>
      <c r="G309" s="262">
        <f t="shared" si="13"/>
        <v>0</v>
      </c>
      <c r="H309" s="262">
        <f t="shared" si="13"/>
        <v>0</v>
      </c>
      <c r="I309" s="262">
        <f t="shared" si="13"/>
        <v>0</v>
      </c>
      <c r="J309" s="262">
        <f t="shared" si="13"/>
        <v>0</v>
      </c>
      <c r="K309" s="262">
        <f t="shared" si="13"/>
        <v>0</v>
      </c>
      <c r="L309" s="262">
        <f t="shared" si="13"/>
        <v>0</v>
      </c>
      <c r="M309" s="150">
        <f t="shared" si="12"/>
        <v>124324</v>
      </c>
      <c r="N309" s="45" t="s">
        <v>92</v>
      </c>
      <c r="O309" s="45" t="s">
        <v>344</v>
      </c>
      <c r="P309" s="14"/>
    </row>
    <row r="310" spans="1:30" ht="31">
      <c r="A310" s="56"/>
      <c r="B310" s="56"/>
      <c r="C310" s="56"/>
      <c r="D310" s="24" t="s">
        <v>744</v>
      </c>
      <c r="E310" s="42">
        <v>0</v>
      </c>
      <c r="F310" s="42">
        <v>0</v>
      </c>
      <c r="G310" s="42">
        <v>0</v>
      </c>
      <c r="H310" s="42">
        <v>0</v>
      </c>
      <c r="I310" s="42">
        <v>0</v>
      </c>
      <c r="J310" s="42"/>
      <c r="K310" s="42"/>
      <c r="L310" s="42"/>
      <c r="M310" s="150">
        <f t="shared" si="12"/>
        <v>0</v>
      </c>
      <c r="N310" s="45" t="s">
        <v>91</v>
      </c>
      <c r="O310" s="45" t="s">
        <v>729</v>
      </c>
      <c r="P310" s="289" t="s">
        <v>345</v>
      </c>
      <c r="Q310" s="290"/>
      <c r="R310" s="290"/>
      <c r="S310" s="290"/>
      <c r="T310" s="290"/>
      <c r="U310" s="290"/>
      <c r="V310" s="290"/>
      <c r="W310" s="290"/>
      <c r="X310" s="290"/>
      <c r="Y310" s="290"/>
      <c r="Z310" s="290"/>
      <c r="AA310" s="290"/>
      <c r="AB310" s="290"/>
      <c r="AC310" s="290"/>
      <c r="AD310" s="291"/>
    </row>
    <row r="311" spans="1:30" ht="16.5" customHeight="1" thickBot="1">
      <c r="A311" s="56"/>
      <c r="B311" s="56"/>
      <c r="C311" s="56"/>
      <c r="D311" s="176" t="s">
        <v>347</v>
      </c>
      <c r="E311" s="171">
        <f t="shared" ref="E311:M311" si="14">+E292+SUM(E294:E310)</f>
        <v>3582188</v>
      </c>
      <c r="F311" s="171">
        <f t="shared" si="14"/>
        <v>0</v>
      </c>
      <c r="G311" s="171">
        <f>+G292+SUM(G294:G310)</f>
        <v>0</v>
      </c>
      <c r="H311" s="171">
        <f t="shared" si="14"/>
        <v>0</v>
      </c>
      <c r="I311" s="171">
        <f t="shared" si="14"/>
        <v>0</v>
      </c>
      <c r="J311" s="171">
        <f t="shared" si="14"/>
        <v>0</v>
      </c>
      <c r="K311" s="171">
        <f t="shared" si="14"/>
        <v>0</v>
      </c>
      <c r="L311" s="171">
        <f t="shared" si="14"/>
        <v>0</v>
      </c>
      <c r="M311" s="164">
        <f t="shared" si="14"/>
        <v>3582188</v>
      </c>
      <c r="N311" s="45" t="s">
        <v>14</v>
      </c>
      <c r="O311" s="45" t="s">
        <v>346</v>
      </c>
    </row>
    <row r="312" spans="1:30" ht="16" thickBot="1">
      <c r="A312" s="56"/>
      <c r="B312" s="56"/>
      <c r="C312" s="56"/>
      <c r="D312" s="7"/>
      <c r="E312" s="7"/>
      <c r="F312" s="7"/>
      <c r="G312" s="7"/>
      <c r="H312" s="7"/>
      <c r="I312" s="7"/>
      <c r="J312" s="7"/>
      <c r="K312" s="7"/>
    </row>
    <row r="313" spans="1:30" ht="16" thickBot="1">
      <c r="A313" s="56"/>
      <c r="B313" s="56"/>
      <c r="C313" s="56"/>
      <c r="D313" s="296" t="s">
        <v>745</v>
      </c>
      <c r="E313" s="297" t="s">
        <v>102</v>
      </c>
      <c r="F313" s="297"/>
      <c r="G313" s="297"/>
      <c r="H313" s="297"/>
      <c r="I313" s="297"/>
      <c r="J313" s="297"/>
      <c r="K313" s="297"/>
      <c r="L313" s="297"/>
      <c r="M313" s="298"/>
      <c r="N313" s="45"/>
      <c r="O313" s="45" t="s">
        <v>348</v>
      </c>
    </row>
    <row r="314" spans="1:30">
      <c r="A314" s="56"/>
      <c r="B314" s="56"/>
      <c r="C314" s="56"/>
      <c r="D314" s="168" t="s">
        <v>713</v>
      </c>
      <c r="E314" s="169" t="str">
        <f>+E291</f>
        <v>Nord Stream AG</v>
      </c>
      <c r="F314" s="169">
        <f t="shared" ref="F314:L314" si="15">+F291</f>
        <v>0</v>
      </c>
      <c r="G314" s="169">
        <f t="shared" si="15"/>
        <v>0</v>
      </c>
      <c r="H314" s="169">
        <f t="shared" si="15"/>
        <v>0</v>
      </c>
      <c r="I314" s="169">
        <f t="shared" si="15"/>
        <v>0</v>
      </c>
      <c r="J314" s="169">
        <f t="shared" si="15"/>
        <v>0</v>
      </c>
      <c r="K314" s="169">
        <f t="shared" si="15"/>
        <v>0</v>
      </c>
      <c r="L314" s="169">
        <f t="shared" si="15"/>
        <v>0</v>
      </c>
      <c r="M314" s="170" t="str">
        <f>+M291</f>
        <v>Total amount</v>
      </c>
      <c r="N314" s="45" t="s">
        <v>245</v>
      </c>
      <c r="O314" s="45" t="s">
        <v>349</v>
      </c>
    </row>
    <row r="315" spans="1:30">
      <c r="A315" s="56"/>
      <c r="B315" s="56"/>
      <c r="C315" s="56"/>
      <c r="D315" s="161" t="s">
        <v>746</v>
      </c>
      <c r="E315" s="42">
        <v>3457864</v>
      </c>
      <c r="F315" s="42">
        <v>0</v>
      </c>
      <c r="G315" s="42">
        <v>0</v>
      </c>
      <c r="H315" s="42">
        <v>0</v>
      </c>
      <c r="I315" s="42">
        <v>0</v>
      </c>
      <c r="J315" s="42">
        <v>0</v>
      </c>
      <c r="K315" s="42"/>
      <c r="L315" s="42"/>
      <c r="M315" s="150">
        <f>SUM(E315:L315)</f>
        <v>3457864</v>
      </c>
      <c r="N315" s="45"/>
      <c r="O315" s="45" t="s">
        <v>350</v>
      </c>
    </row>
    <row r="316" spans="1:30">
      <c r="A316" s="56"/>
      <c r="B316" s="56"/>
      <c r="C316" s="56"/>
      <c r="D316" s="177" t="s">
        <v>710</v>
      </c>
      <c r="E316" s="42"/>
      <c r="F316" s="42"/>
      <c r="G316" s="42"/>
      <c r="H316" s="42"/>
      <c r="I316" s="42"/>
      <c r="J316" s="42"/>
      <c r="K316" s="42"/>
      <c r="L316" s="42"/>
      <c r="M316" s="150"/>
      <c r="N316" s="45" t="s">
        <v>289</v>
      </c>
      <c r="O316" s="45" t="s">
        <v>351</v>
      </c>
    </row>
    <row r="317" spans="1:30">
      <c r="A317" s="56"/>
      <c r="B317" s="56"/>
      <c r="C317" s="56"/>
      <c r="D317" s="161" t="s">
        <v>701</v>
      </c>
      <c r="E317" s="42" t="s">
        <v>714</v>
      </c>
      <c r="F317" s="42" t="s">
        <v>714</v>
      </c>
      <c r="G317" s="42" t="s">
        <v>714</v>
      </c>
      <c r="H317" s="42" t="s">
        <v>714</v>
      </c>
      <c r="I317" s="42" t="s">
        <v>714</v>
      </c>
      <c r="J317" s="42" t="s">
        <v>714</v>
      </c>
      <c r="K317" s="42" t="s">
        <v>714</v>
      </c>
      <c r="L317" s="42" t="s">
        <v>714</v>
      </c>
      <c r="M317" s="150"/>
      <c r="N317" s="45" t="s">
        <v>291</v>
      </c>
      <c r="O317" s="45" t="s">
        <v>352</v>
      </c>
    </row>
    <row r="318" spans="1:30">
      <c r="A318" s="56"/>
      <c r="B318" s="56"/>
      <c r="C318" s="56"/>
      <c r="D318" s="161" t="s">
        <v>702</v>
      </c>
      <c r="E318" s="42" t="s">
        <v>716</v>
      </c>
      <c r="F318" s="42" t="s">
        <v>716</v>
      </c>
      <c r="G318" s="42" t="s">
        <v>716</v>
      </c>
      <c r="H318" s="42" t="s">
        <v>716</v>
      </c>
      <c r="I318" s="42" t="s">
        <v>716</v>
      </c>
      <c r="J318" s="42" t="s">
        <v>716</v>
      </c>
      <c r="K318" s="42" t="s">
        <v>716</v>
      </c>
      <c r="L318" s="42" t="s">
        <v>716</v>
      </c>
      <c r="M318" s="150"/>
      <c r="N318" s="45" t="s">
        <v>293</v>
      </c>
      <c r="O318" s="45" t="s">
        <v>353</v>
      </c>
    </row>
    <row r="319" spans="1:30">
      <c r="A319" s="56"/>
      <c r="B319" s="56"/>
      <c r="C319" s="56"/>
      <c r="D319" s="161" t="s">
        <v>703</v>
      </c>
      <c r="E319" s="42">
        <v>0</v>
      </c>
      <c r="F319" s="42">
        <v>0</v>
      </c>
      <c r="G319" s="42">
        <v>0</v>
      </c>
      <c r="H319" s="42">
        <v>0</v>
      </c>
      <c r="I319" s="42">
        <v>0</v>
      </c>
      <c r="J319" s="42"/>
      <c r="K319" s="42"/>
      <c r="L319" s="42"/>
      <c r="M319" s="150">
        <f>SUM(E319:L319)</f>
        <v>0</v>
      </c>
      <c r="N319" s="45" t="s">
        <v>295</v>
      </c>
      <c r="O319" s="45" t="s">
        <v>354</v>
      </c>
    </row>
    <row r="320" spans="1:30">
      <c r="A320" s="56"/>
      <c r="B320" s="56"/>
      <c r="C320" s="56"/>
      <c r="D320" s="161" t="s">
        <v>704</v>
      </c>
      <c r="E320" s="42">
        <v>0</v>
      </c>
      <c r="F320" s="42">
        <v>0</v>
      </c>
      <c r="G320" s="42">
        <v>0</v>
      </c>
      <c r="H320" s="42">
        <v>0</v>
      </c>
      <c r="I320" s="42">
        <v>0</v>
      </c>
      <c r="J320" s="42"/>
      <c r="K320" s="42"/>
      <c r="L320" s="42"/>
      <c r="M320" s="150">
        <f>SUM(E320:L320)</f>
        <v>0</v>
      </c>
      <c r="N320" s="45" t="s">
        <v>297</v>
      </c>
      <c r="O320" s="45" t="s">
        <v>355</v>
      </c>
    </row>
    <row r="321" spans="1:30" ht="16" thickBot="1">
      <c r="A321" s="56"/>
      <c r="B321" s="56"/>
      <c r="C321" s="56"/>
      <c r="D321" s="178" t="s">
        <v>747</v>
      </c>
      <c r="E321" s="179">
        <f>+E315+E319+E320</f>
        <v>3457864</v>
      </c>
      <c r="F321" s="179">
        <f t="shared" ref="F321:L321" si="16">+F315+F319+F320</f>
        <v>0</v>
      </c>
      <c r="G321" s="179">
        <f t="shared" si="16"/>
        <v>0</v>
      </c>
      <c r="H321" s="179">
        <f t="shared" si="16"/>
        <v>0</v>
      </c>
      <c r="I321" s="179">
        <f t="shared" si="16"/>
        <v>0</v>
      </c>
      <c r="J321" s="179">
        <f t="shared" si="16"/>
        <v>0</v>
      </c>
      <c r="K321" s="179">
        <f t="shared" si="16"/>
        <v>0</v>
      </c>
      <c r="L321" s="179">
        <f t="shared" si="16"/>
        <v>0</v>
      </c>
      <c r="M321" s="180">
        <f>+M315+M319+M320</f>
        <v>3457864</v>
      </c>
      <c r="N321" s="45" t="s">
        <v>323</v>
      </c>
      <c r="O321" s="45"/>
    </row>
    <row r="322" spans="1:30" ht="16" thickBot="1">
      <c r="A322" s="56"/>
      <c r="B322" s="56"/>
      <c r="C322" s="56"/>
      <c r="D322" s="7"/>
      <c r="E322" s="7"/>
      <c r="F322" s="7"/>
      <c r="G322" s="7"/>
      <c r="H322" s="7"/>
      <c r="I322" s="7"/>
      <c r="J322" s="7"/>
      <c r="K322" s="7"/>
    </row>
    <row r="323" spans="1:30" ht="16" thickBot="1">
      <c r="A323" s="56"/>
      <c r="B323" s="56"/>
      <c r="C323" s="56"/>
      <c r="D323" s="296" t="s">
        <v>808</v>
      </c>
      <c r="E323" s="297"/>
      <c r="F323" s="297"/>
      <c r="G323" s="297"/>
      <c r="H323" s="297"/>
      <c r="I323" s="297"/>
      <c r="J323" s="297"/>
      <c r="K323" s="297"/>
      <c r="L323" s="297"/>
      <c r="M323" s="298"/>
      <c r="N323" s="45"/>
      <c r="O323" s="45" t="s">
        <v>356</v>
      </c>
    </row>
    <row r="324" spans="1:30">
      <c r="A324" s="56"/>
      <c r="B324" s="56"/>
      <c r="C324" s="56"/>
      <c r="D324" s="174" t="s">
        <v>247</v>
      </c>
      <c r="E324" s="169" t="str">
        <f>+E314</f>
        <v>Nord Stream AG</v>
      </c>
      <c r="F324" s="169">
        <f t="shared" ref="F324:M324" si="17">+F314</f>
        <v>0</v>
      </c>
      <c r="G324" s="169">
        <f t="shared" si="17"/>
        <v>0</v>
      </c>
      <c r="H324" s="169">
        <f t="shared" si="17"/>
        <v>0</v>
      </c>
      <c r="I324" s="169">
        <f t="shared" si="17"/>
        <v>0</v>
      </c>
      <c r="J324" s="169">
        <f t="shared" si="17"/>
        <v>0</v>
      </c>
      <c r="K324" s="169">
        <f t="shared" si="17"/>
        <v>0</v>
      </c>
      <c r="L324" s="169">
        <f t="shared" si="17"/>
        <v>0</v>
      </c>
      <c r="M324" s="170" t="str">
        <f t="shared" si="17"/>
        <v>Total amount</v>
      </c>
      <c r="N324" s="45" t="s">
        <v>245</v>
      </c>
      <c r="O324" s="45" t="s">
        <v>357</v>
      </c>
    </row>
    <row r="325" spans="1:30">
      <c r="A325" s="56"/>
      <c r="B325" s="56"/>
      <c r="C325" s="56"/>
      <c r="D325" s="175" t="s">
        <v>765</v>
      </c>
      <c r="E325" s="42">
        <v>124324</v>
      </c>
      <c r="F325" s="42">
        <v>0</v>
      </c>
      <c r="G325" s="42">
        <v>0</v>
      </c>
      <c r="H325" s="42">
        <v>0</v>
      </c>
      <c r="I325" s="42">
        <v>0</v>
      </c>
      <c r="J325" s="42"/>
      <c r="K325" s="42"/>
      <c r="L325" s="42"/>
      <c r="M325" s="150">
        <f>SUM(E325:L325)</f>
        <v>124324</v>
      </c>
      <c r="N325" s="45" t="s">
        <v>118</v>
      </c>
      <c r="O325" s="45" t="s">
        <v>358</v>
      </c>
    </row>
    <row r="326" spans="1:30">
      <c r="A326" s="56"/>
      <c r="B326" s="56"/>
      <c r="C326" s="56"/>
      <c r="D326" s="300" t="s">
        <v>766</v>
      </c>
      <c r="E326" s="301"/>
      <c r="F326" s="301"/>
      <c r="G326" s="301"/>
      <c r="H326" s="301"/>
      <c r="I326" s="301"/>
      <c r="J326" s="301"/>
      <c r="K326" s="301"/>
      <c r="L326" s="375"/>
      <c r="M326" s="183"/>
      <c r="N326" s="45" t="s">
        <v>137</v>
      </c>
      <c r="O326" s="45" t="s">
        <v>359</v>
      </c>
    </row>
    <row r="327" spans="1:30" ht="33" customHeight="1">
      <c r="A327" s="56"/>
      <c r="B327" s="56"/>
      <c r="C327" s="56"/>
      <c r="D327" s="23" t="s">
        <v>592</v>
      </c>
      <c r="E327" s="42">
        <v>0</v>
      </c>
      <c r="F327" s="42">
        <v>0</v>
      </c>
      <c r="G327" s="42">
        <v>0</v>
      </c>
      <c r="H327" s="42">
        <v>0</v>
      </c>
      <c r="I327" s="42">
        <v>0</v>
      </c>
      <c r="J327" s="42"/>
      <c r="K327" s="42"/>
      <c r="L327" s="42"/>
      <c r="M327" s="150">
        <f t="shared" ref="M327:M342" si="18">SUM(E327:L327)</f>
        <v>0</v>
      </c>
      <c r="N327" s="45" t="s">
        <v>141</v>
      </c>
      <c r="O327" s="45" t="s">
        <v>749</v>
      </c>
      <c r="P327" s="372" t="s">
        <v>360</v>
      </c>
      <c r="Q327" s="373"/>
      <c r="R327" s="373"/>
      <c r="S327" s="373"/>
      <c r="T327" s="373"/>
      <c r="U327" s="373"/>
      <c r="V327" s="373"/>
      <c r="W327" s="373"/>
      <c r="X327" s="373"/>
      <c r="Y327" s="373"/>
      <c r="Z327" s="373"/>
      <c r="AA327" s="373"/>
      <c r="AB327" s="373"/>
      <c r="AC327" s="373"/>
      <c r="AD327" s="374"/>
    </row>
    <row r="328" spans="1:30" ht="28" customHeight="1">
      <c r="A328" s="56"/>
      <c r="B328" s="56"/>
      <c r="C328" s="56"/>
      <c r="D328" s="23" t="s">
        <v>604</v>
      </c>
      <c r="E328" s="42">
        <v>0</v>
      </c>
      <c r="F328" s="42">
        <v>0</v>
      </c>
      <c r="G328" s="42">
        <v>0</v>
      </c>
      <c r="H328" s="42">
        <v>0</v>
      </c>
      <c r="I328" s="42">
        <v>0</v>
      </c>
      <c r="J328" s="42"/>
      <c r="K328" s="42"/>
      <c r="L328" s="42"/>
      <c r="M328" s="150">
        <f t="shared" si="18"/>
        <v>0</v>
      </c>
      <c r="N328" s="45" t="s">
        <v>142</v>
      </c>
      <c r="O328" s="45" t="s">
        <v>750</v>
      </c>
      <c r="P328" s="372" t="s">
        <v>748</v>
      </c>
      <c r="Q328" s="373"/>
      <c r="R328" s="373"/>
      <c r="S328" s="373"/>
      <c r="T328" s="373"/>
      <c r="U328" s="373"/>
      <c r="V328" s="373"/>
      <c r="W328" s="373"/>
      <c r="X328" s="373"/>
      <c r="Y328" s="373"/>
      <c r="Z328" s="373"/>
      <c r="AA328" s="373"/>
      <c r="AB328" s="373"/>
      <c r="AC328" s="373"/>
      <c r="AD328" s="374"/>
    </row>
    <row r="329" spans="1:30" ht="15.5" customHeight="1">
      <c r="A329" s="56"/>
      <c r="B329" s="56"/>
      <c r="C329" s="56"/>
      <c r="D329" s="23" t="s">
        <v>605</v>
      </c>
      <c r="E329" s="42">
        <v>0</v>
      </c>
      <c r="F329" s="42">
        <v>0</v>
      </c>
      <c r="G329" s="42">
        <v>0</v>
      </c>
      <c r="H329" s="42">
        <v>0</v>
      </c>
      <c r="I329" s="42">
        <v>0</v>
      </c>
      <c r="J329" s="42"/>
      <c r="K329" s="42"/>
      <c r="L329" s="42"/>
      <c r="M329" s="150">
        <f t="shared" si="18"/>
        <v>0</v>
      </c>
      <c r="N329" s="45" t="s">
        <v>143</v>
      </c>
      <c r="O329" s="45" t="s">
        <v>751</v>
      </c>
      <c r="P329" s="372" t="s">
        <v>748</v>
      </c>
      <c r="Q329" s="373"/>
      <c r="R329" s="373"/>
      <c r="S329" s="373"/>
      <c r="T329" s="373"/>
      <c r="U329" s="373"/>
      <c r="V329" s="373"/>
      <c r="W329" s="373"/>
      <c r="X329" s="373"/>
      <c r="Y329" s="373"/>
      <c r="Z329" s="373"/>
      <c r="AA329" s="373"/>
      <c r="AB329" s="373"/>
      <c r="AC329" s="373"/>
      <c r="AD329" s="374"/>
    </row>
    <row r="330" spans="1:30" ht="15.5" customHeight="1">
      <c r="A330" s="56"/>
      <c r="B330" s="56"/>
      <c r="C330" s="56"/>
      <c r="D330" s="23" t="s">
        <v>593</v>
      </c>
      <c r="E330" s="42">
        <v>0</v>
      </c>
      <c r="F330" s="42">
        <v>0</v>
      </c>
      <c r="G330" s="42">
        <v>0</v>
      </c>
      <c r="H330" s="42">
        <v>0</v>
      </c>
      <c r="I330" s="42">
        <v>0</v>
      </c>
      <c r="J330" s="42"/>
      <c r="K330" s="42"/>
      <c r="L330" s="42"/>
      <c r="M330" s="150">
        <f t="shared" si="18"/>
        <v>0</v>
      </c>
      <c r="N330" s="45" t="s">
        <v>144</v>
      </c>
      <c r="O330" s="45" t="s">
        <v>752</v>
      </c>
      <c r="P330" s="372" t="s">
        <v>361</v>
      </c>
      <c r="Q330" s="373"/>
      <c r="R330" s="373"/>
      <c r="S330" s="373"/>
      <c r="T330" s="373"/>
      <c r="U330" s="373"/>
      <c r="V330" s="373"/>
      <c r="W330" s="373"/>
      <c r="X330" s="373"/>
      <c r="Y330" s="373"/>
      <c r="Z330" s="373"/>
      <c r="AA330" s="373"/>
      <c r="AB330" s="373"/>
      <c r="AC330" s="373"/>
      <c r="AD330" s="374"/>
    </row>
    <row r="331" spans="1:30" ht="15.5" customHeight="1">
      <c r="A331" s="56"/>
      <c r="B331" s="56"/>
      <c r="C331" s="56"/>
      <c r="D331" s="23" t="s">
        <v>594</v>
      </c>
      <c r="E331" s="42">
        <v>0</v>
      </c>
      <c r="F331" s="42">
        <v>0</v>
      </c>
      <c r="G331" s="42">
        <v>0</v>
      </c>
      <c r="H331" s="42">
        <v>0</v>
      </c>
      <c r="I331" s="42">
        <v>0</v>
      </c>
      <c r="J331" s="42"/>
      <c r="K331" s="42"/>
      <c r="L331" s="42"/>
      <c r="M331" s="150">
        <f t="shared" si="18"/>
        <v>0</v>
      </c>
      <c r="N331" s="45" t="s">
        <v>145</v>
      </c>
      <c r="O331" s="45" t="s">
        <v>753</v>
      </c>
      <c r="P331" s="372" t="s">
        <v>362</v>
      </c>
      <c r="Q331" s="373"/>
      <c r="R331" s="373"/>
      <c r="S331" s="373"/>
      <c r="T331" s="373"/>
      <c r="U331" s="373"/>
      <c r="V331" s="373"/>
      <c r="W331" s="373"/>
      <c r="X331" s="373"/>
      <c r="Y331" s="373"/>
      <c r="Z331" s="373"/>
      <c r="AA331" s="373"/>
      <c r="AB331" s="373"/>
      <c r="AC331" s="373"/>
      <c r="AD331" s="374"/>
    </row>
    <row r="332" spans="1:30" ht="31" customHeight="1">
      <c r="A332" s="56"/>
      <c r="B332" s="56"/>
      <c r="C332" s="56"/>
      <c r="D332" s="23" t="s">
        <v>595</v>
      </c>
      <c r="E332" s="42">
        <v>0</v>
      </c>
      <c r="F332" s="42">
        <v>0</v>
      </c>
      <c r="G332" s="42">
        <v>0</v>
      </c>
      <c r="H332" s="42">
        <v>0</v>
      </c>
      <c r="I332" s="42">
        <v>0</v>
      </c>
      <c r="J332" s="42"/>
      <c r="K332" s="42"/>
      <c r="L332" s="42"/>
      <c r="M332" s="150">
        <f t="shared" si="18"/>
        <v>0</v>
      </c>
      <c r="N332" s="45" t="s">
        <v>146</v>
      </c>
      <c r="O332" s="45" t="s">
        <v>754</v>
      </c>
      <c r="P332" s="325" t="s">
        <v>363</v>
      </c>
      <c r="Q332" s="326"/>
      <c r="R332" s="326"/>
      <c r="S332" s="326"/>
      <c r="T332" s="326"/>
      <c r="U332" s="326"/>
      <c r="V332" s="326"/>
      <c r="W332" s="326"/>
      <c r="X332" s="326"/>
      <c r="Y332" s="326"/>
      <c r="Z332" s="326"/>
      <c r="AA332" s="326"/>
      <c r="AB332" s="326"/>
      <c r="AC332" s="326"/>
      <c r="AD332" s="327"/>
    </row>
    <row r="333" spans="1:30" ht="88.5" customHeight="1">
      <c r="A333" s="56"/>
      <c r="B333" s="56"/>
      <c r="C333" s="56"/>
      <c r="D333" s="23" t="s">
        <v>596</v>
      </c>
      <c r="E333" s="42">
        <v>0</v>
      </c>
      <c r="F333" s="42">
        <v>0</v>
      </c>
      <c r="G333" s="42">
        <v>0</v>
      </c>
      <c r="H333" s="42">
        <v>0</v>
      </c>
      <c r="I333" s="42">
        <v>0</v>
      </c>
      <c r="J333" s="42"/>
      <c r="K333" s="42"/>
      <c r="L333" s="42"/>
      <c r="M333" s="150">
        <f t="shared" si="18"/>
        <v>0</v>
      </c>
      <c r="N333" s="45" t="s">
        <v>148</v>
      </c>
      <c r="O333" s="45" t="s">
        <v>755</v>
      </c>
      <c r="P333" s="325" t="s">
        <v>364</v>
      </c>
      <c r="Q333" s="326"/>
      <c r="R333" s="326"/>
      <c r="S333" s="326"/>
      <c r="T333" s="326"/>
      <c r="U333" s="326"/>
      <c r="V333" s="326"/>
      <c r="W333" s="326"/>
      <c r="X333" s="326"/>
      <c r="Y333" s="326"/>
      <c r="Z333" s="326"/>
      <c r="AA333" s="326"/>
      <c r="AB333" s="326"/>
      <c r="AC333" s="326"/>
      <c r="AD333" s="327"/>
    </row>
    <row r="334" spans="1:30" ht="33" customHeight="1">
      <c r="A334" s="56"/>
      <c r="B334" s="56"/>
      <c r="C334" s="56"/>
      <c r="D334" s="23" t="s">
        <v>597</v>
      </c>
      <c r="E334" s="42">
        <v>0</v>
      </c>
      <c r="F334" s="42">
        <v>0</v>
      </c>
      <c r="G334" s="42">
        <v>0</v>
      </c>
      <c r="H334" s="42">
        <v>0</v>
      </c>
      <c r="I334" s="42">
        <v>0</v>
      </c>
      <c r="J334" s="42"/>
      <c r="K334" s="42"/>
      <c r="L334" s="42"/>
      <c r="M334" s="150">
        <f t="shared" si="18"/>
        <v>0</v>
      </c>
      <c r="N334" s="45" t="s">
        <v>150</v>
      </c>
      <c r="O334" s="45" t="s">
        <v>756</v>
      </c>
      <c r="P334" s="325" t="s">
        <v>365</v>
      </c>
      <c r="Q334" s="326"/>
      <c r="R334" s="326"/>
      <c r="S334" s="326"/>
      <c r="T334" s="326"/>
      <c r="U334" s="326"/>
      <c r="V334" s="326"/>
      <c r="W334" s="326"/>
      <c r="X334" s="326"/>
      <c r="Y334" s="326"/>
      <c r="Z334" s="326"/>
      <c r="AA334" s="326"/>
      <c r="AB334" s="326"/>
      <c r="AC334" s="326"/>
      <c r="AD334" s="327"/>
    </row>
    <row r="335" spans="1:30" ht="15.5" customHeight="1">
      <c r="A335" s="56"/>
      <c r="B335" s="56"/>
      <c r="C335" s="56"/>
      <c r="D335" s="23" t="s">
        <v>598</v>
      </c>
      <c r="E335" s="42">
        <v>0</v>
      </c>
      <c r="F335" s="42">
        <v>0</v>
      </c>
      <c r="G335" s="42">
        <v>0</v>
      </c>
      <c r="H335" s="42">
        <v>0</v>
      </c>
      <c r="I335" s="42">
        <v>0</v>
      </c>
      <c r="J335" s="42">
        <v>0</v>
      </c>
      <c r="K335" s="42">
        <v>0</v>
      </c>
      <c r="L335" s="42">
        <v>0</v>
      </c>
      <c r="M335" s="150">
        <f t="shared" si="18"/>
        <v>0</v>
      </c>
      <c r="N335" s="45" t="s">
        <v>151</v>
      </c>
      <c r="O335" s="45" t="s">
        <v>757</v>
      </c>
      <c r="P335" s="325" t="s">
        <v>366</v>
      </c>
      <c r="Q335" s="326"/>
      <c r="R335" s="326"/>
      <c r="S335" s="326"/>
      <c r="T335" s="326"/>
      <c r="U335" s="326"/>
      <c r="V335" s="326"/>
      <c r="W335" s="326"/>
      <c r="X335" s="326"/>
      <c r="Y335" s="326"/>
      <c r="Z335" s="326"/>
      <c r="AA335" s="326"/>
      <c r="AB335" s="326"/>
      <c r="AC335" s="326"/>
      <c r="AD335" s="327"/>
    </row>
    <row r="336" spans="1:30" ht="48" customHeight="1">
      <c r="A336" s="56"/>
      <c r="B336" s="56"/>
      <c r="C336" s="56"/>
      <c r="D336" s="23" t="s">
        <v>599</v>
      </c>
      <c r="E336" s="42">
        <v>0</v>
      </c>
      <c r="F336" s="42">
        <v>0</v>
      </c>
      <c r="G336" s="42">
        <v>0</v>
      </c>
      <c r="H336" s="42">
        <v>0</v>
      </c>
      <c r="I336" s="42">
        <v>0</v>
      </c>
      <c r="J336" s="42"/>
      <c r="K336" s="42"/>
      <c r="L336" s="42"/>
      <c r="M336" s="150">
        <f t="shared" si="18"/>
        <v>0</v>
      </c>
      <c r="N336" s="45" t="s">
        <v>152</v>
      </c>
      <c r="O336" s="45" t="s">
        <v>758</v>
      </c>
      <c r="P336" s="325" t="s">
        <v>367</v>
      </c>
      <c r="Q336" s="326"/>
      <c r="R336" s="326"/>
      <c r="S336" s="326"/>
      <c r="T336" s="326"/>
      <c r="U336" s="326"/>
      <c r="V336" s="326"/>
      <c r="W336" s="326"/>
      <c r="X336" s="326"/>
      <c r="Y336" s="326"/>
      <c r="Z336" s="326"/>
      <c r="AA336" s="326"/>
      <c r="AB336" s="326"/>
      <c r="AC336" s="326"/>
      <c r="AD336" s="327"/>
    </row>
    <row r="337" spans="1:30" ht="30.5" customHeight="1">
      <c r="A337" s="56"/>
      <c r="B337" s="56"/>
      <c r="C337" s="56"/>
      <c r="D337" s="23" t="s">
        <v>606</v>
      </c>
      <c r="E337" s="42">
        <v>0</v>
      </c>
      <c r="F337" s="42">
        <v>0</v>
      </c>
      <c r="G337" s="42">
        <v>0</v>
      </c>
      <c r="H337" s="42">
        <v>0</v>
      </c>
      <c r="I337" s="42">
        <v>0</v>
      </c>
      <c r="J337" s="42"/>
      <c r="K337" s="42"/>
      <c r="L337" s="42"/>
      <c r="M337" s="150">
        <f t="shared" si="18"/>
        <v>0</v>
      </c>
      <c r="N337" s="45" t="s">
        <v>153</v>
      </c>
      <c r="O337" s="45" t="s">
        <v>759</v>
      </c>
      <c r="P337" s="325" t="s">
        <v>368</v>
      </c>
      <c r="Q337" s="326"/>
      <c r="R337" s="326"/>
      <c r="S337" s="326"/>
      <c r="T337" s="326"/>
      <c r="U337" s="326"/>
      <c r="V337" s="326"/>
      <c r="W337" s="326"/>
      <c r="X337" s="326"/>
      <c r="Y337" s="326"/>
      <c r="Z337" s="326"/>
      <c r="AA337" s="326"/>
      <c r="AB337" s="326"/>
      <c r="AC337" s="326"/>
      <c r="AD337" s="327"/>
    </row>
    <row r="338" spans="1:30" ht="33" customHeight="1">
      <c r="A338" s="56"/>
      <c r="B338" s="56"/>
      <c r="C338" s="56"/>
      <c r="D338" s="23" t="s">
        <v>607</v>
      </c>
      <c r="E338" s="42">
        <v>0</v>
      </c>
      <c r="F338" s="42">
        <v>0</v>
      </c>
      <c r="G338" s="42">
        <v>0</v>
      </c>
      <c r="H338" s="42">
        <v>0</v>
      </c>
      <c r="I338" s="42">
        <v>0</v>
      </c>
      <c r="J338" s="42"/>
      <c r="K338" s="42"/>
      <c r="L338" s="42"/>
      <c r="M338" s="150">
        <f t="shared" si="18"/>
        <v>0</v>
      </c>
      <c r="N338" s="45" t="s">
        <v>154</v>
      </c>
      <c r="O338" s="45" t="s">
        <v>760</v>
      </c>
      <c r="P338" s="325" t="s">
        <v>369</v>
      </c>
      <c r="Q338" s="326"/>
      <c r="R338" s="326"/>
      <c r="S338" s="326"/>
      <c r="T338" s="326"/>
      <c r="U338" s="326"/>
      <c r="V338" s="326"/>
      <c r="W338" s="326"/>
      <c r="X338" s="326"/>
      <c r="Y338" s="326"/>
      <c r="Z338" s="326"/>
      <c r="AA338" s="326"/>
      <c r="AB338" s="326"/>
      <c r="AC338" s="326"/>
      <c r="AD338" s="327"/>
    </row>
    <row r="339" spans="1:30">
      <c r="A339" s="56"/>
      <c r="B339" s="56"/>
      <c r="C339" s="56"/>
      <c r="D339" s="23" t="s">
        <v>600</v>
      </c>
      <c r="E339" s="42">
        <v>0</v>
      </c>
      <c r="F339" s="42">
        <v>0</v>
      </c>
      <c r="G339" s="42">
        <v>0</v>
      </c>
      <c r="H339" s="42">
        <v>0</v>
      </c>
      <c r="I339" s="42">
        <v>0</v>
      </c>
      <c r="J339" s="42"/>
      <c r="K339" s="42"/>
      <c r="L339" s="42"/>
      <c r="M339" s="150">
        <f t="shared" si="18"/>
        <v>0</v>
      </c>
      <c r="N339" s="45" t="s">
        <v>155</v>
      </c>
      <c r="O339" s="45" t="s">
        <v>761</v>
      </c>
      <c r="P339" s="7"/>
    </row>
    <row r="340" spans="1:30">
      <c r="A340" s="56"/>
      <c r="B340" s="56"/>
      <c r="C340" s="56"/>
      <c r="D340" s="23" t="s">
        <v>601</v>
      </c>
      <c r="E340" s="42">
        <v>0</v>
      </c>
      <c r="F340" s="42">
        <v>0</v>
      </c>
      <c r="G340" s="42">
        <v>0</v>
      </c>
      <c r="H340" s="42">
        <v>0</v>
      </c>
      <c r="I340" s="42">
        <v>0</v>
      </c>
      <c r="J340" s="42">
        <v>0</v>
      </c>
      <c r="K340" s="42">
        <v>0</v>
      </c>
      <c r="L340" s="42">
        <v>0</v>
      </c>
      <c r="M340" s="150">
        <f t="shared" si="18"/>
        <v>0</v>
      </c>
      <c r="N340" s="45" t="s">
        <v>156</v>
      </c>
      <c r="O340" s="45" t="s">
        <v>762</v>
      </c>
      <c r="P340" s="7"/>
    </row>
    <row r="341" spans="1:30">
      <c r="A341" s="56"/>
      <c r="B341" s="56"/>
      <c r="C341" s="56"/>
      <c r="D341" s="23" t="s">
        <v>602</v>
      </c>
      <c r="E341" s="42">
        <v>0</v>
      </c>
      <c r="F341" s="42">
        <v>0</v>
      </c>
      <c r="G341" s="42">
        <v>0</v>
      </c>
      <c r="H341" s="42">
        <v>0</v>
      </c>
      <c r="I341" s="42">
        <v>0</v>
      </c>
      <c r="J341" s="42">
        <v>0</v>
      </c>
      <c r="K341" s="42">
        <v>0</v>
      </c>
      <c r="L341" s="42">
        <v>0</v>
      </c>
      <c r="M341" s="150">
        <f>SUM(E341:L341)</f>
        <v>0</v>
      </c>
      <c r="N341" s="45" t="s">
        <v>157</v>
      </c>
      <c r="O341" s="45" t="s">
        <v>763</v>
      </c>
      <c r="P341" s="7"/>
    </row>
    <row r="342" spans="1:30" ht="15.5" customHeight="1">
      <c r="A342" s="56"/>
      <c r="B342" s="56"/>
      <c r="C342" s="56"/>
      <c r="D342" s="23" t="s">
        <v>603</v>
      </c>
      <c r="E342" s="42">
        <v>0</v>
      </c>
      <c r="F342" s="42">
        <v>0</v>
      </c>
      <c r="G342" s="42">
        <v>0</v>
      </c>
      <c r="H342" s="42">
        <v>0</v>
      </c>
      <c r="I342" s="42">
        <v>0</v>
      </c>
      <c r="J342" s="42">
        <v>0</v>
      </c>
      <c r="K342" s="42">
        <v>0</v>
      </c>
      <c r="L342" s="42">
        <v>0</v>
      </c>
      <c r="M342" s="150">
        <f t="shared" si="18"/>
        <v>0</v>
      </c>
      <c r="N342" s="45" t="s">
        <v>159</v>
      </c>
      <c r="O342" s="45" t="s">
        <v>764</v>
      </c>
      <c r="P342" s="7"/>
    </row>
    <row r="343" spans="1:30" ht="37" customHeight="1">
      <c r="A343" s="56"/>
      <c r="B343" s="56"/>
      <c r="C343" s="56"/>
      <c r="D343" s="175" t="s">
        <v>767</v>
      </c>
      <c r="E343" s="181">
        <f>E325+SUM(E327:E342)</f>
        <v>124324</v>
      </c>
      <c r="F343" s="181">
        <f t="shared" ref="F343:M343" si="19">F325+SUM(F327:F342)</f>
        <v>0</v>
      </c>
      <c r="G343" s="181">
        <f t="shared" si="19"/>
        <v>0</v>
      </c>
      <c r="H343" s="181">
        <f t="shared" si="19"/>
        <v>0</v>
      </c>
      <c r="I343" s="181">
        <f t="shared" si="19"/>
        <v>0</v>
      </c>
      <c r="J343" s="181">
        <f t="shared" si="19"/>
        <v>0</v>
      </c>
      <c r="K343" s="181">
        <f t="shared" si="19"/>
        <v>0</v>
      </c>
      <c r="L343" s="181">
        <f t="shared" si="19"/>
        <v>0</v>
      </c>
      <c r="M343" s="184">
        <f t="shared" si="19"/>
        <v>124324</v>
      </c>
      <c r="N343" s="45" t="s">
        <v>128</v>
      </c>
      <c r="O343" s="45" t="s">
        <v>359</v>
      </c>
      <c r="P343" s="325" t="s">
        <v>370</v>
      </c>
      <c r="Q343" s="326"/>
      <c r="R343" s="326"/>
      <c r="S343" s="326"/>
      <c r="T343" s="326"/>
      <c r="U343" s="326"/>
      <c r="V343" s="326"/>
      <c r="W343" s="326"/>
      <c r="X343" s="326"/>
      <c r="Y343" s="326"/>
      <c r="Z343" s="326"/>
      <c r="AA343" s="326"/>
      <c r="AB343" s="326"/>
      <c r="AC343" s="326"/>
      <c r="AD343" s="327"/>
    </row>
    <row r="344" spans="1:30">
      <c r="A344" s="56"/>
      <c r="B344" s="56"/>
      <c r="C344" s="56"/>
      <c r="D344" s="43" t="s">
        <v>768</v>
      </c>
      <c r="E344" s="42">
        <v>0</v>
      </c>
      <c r="F344" s="42">
        <v>0</v>
      </c>
      <c r="G344" s="42">
        <v>0</v>
      </c>
      <c r="H344" s="42">
        <v>0</v>
      </c>
      <c r="I344" s="42"/>
      <c r="J344" s="42"/>
      <c r="K344" s="42"/>
      <c r="L344" s="42"/>
      <c r="M344" s="150">
        <f>SUM(E344:L344)</f>
        <v>0</v>
      </c>
      <c r="N344" s="45" t="s">
        <v>130</v>
      </c>
      <c r="O344" s="45" t="s">
        <v>371</v>
      </c>
    </row>
    <row r="345" spans="1:30">
      <c r="A345" s="56"/>
      <c r="B345" s="56"/>
      <c r="C345" s="56"/>
      <c r="D345" s="43" t="s">
        <v>770</v>
      </c>
      <c r="E345" s="42">
        <v>0</v>
      </c>
      <c r="F345" s="42">
        <v>0</v>
      </c>
      <c r="G345" s="42">
        <v>0</v>
      </c>
      <c r="H345" s="42">
        <v>0</v>
      </c>
      <c r="I345" s="42">
        <v>0</v>
      </c>
      <c r="J345" s="42">
        <v>0</v>
      </c>
      <c r="K345" s="42">
        <v>0</v>
      </c>
      <c r="L345" s="42">
        <v>0</v>
      </c>
      <c r="M345" s="150">
        <f>SUM(E345:L345)</f>
        <v>0</v>
      </c>
      <c r="N345" s="45" t="s">
        <v>132</v>
      </c>
      <c r="O345" s="45" t="s">
        <v>372</v>
      </c>
    </row>
    <row r="346" spans="1:30" ht="16" thickBot="1">
      <c r="A346" s="56"/>
      <c r="B346" s="56"/>
      <c r="C346" s="56"/>
      <c r="D346" s="176" t="s">
        <v>769</v>
      </c>
      <c r="E346" s="185">
        <f>+E343+E344+E345</f>
        <v>124324</v>
      </c>
      <c r="F346" s="185">
        <f t="shared" ref="F346:M346" si="20">+F343+F344+F345</f>
        <v>0</v>
      </c>
      <c r="G346" s="185">
        <f t="shared" si="20"/>
        <v>0</v>
      </c>
      <c r="H346" s="185">
        <f t="shared" si="20"/>
        <v>0</v>
      </c>
      <c r="I346" s="185">
        <f t="shared" si="20"/>
        <v>0</v>
      </c>
      <c r="J346" s="185">
        <f t="shared" si="20"/>
        <v>0</v>
      </c>
      <c r="K346" s="185">
        <f t="shared" si="20"/>
        <v>0</v>
      </c>
      <c r="L346" s="185">
        <f t="shared" si="20"/>
        <v>0</v>
      </c>
      <c r="M346" s="186">
        <f t="shared" si="20"/>
        <v>124324</v>
      </c>
      <c r="N346" s="45" t="s">
        <v>343</v>
      </c>
      <c r="O346" s="45" t="s">
        <v>373</v>
      </c>
    </row>
    <row r="347" spans="1:30" ht="16" thickBot="1">
      <c r="A347" s="56"/>
      <c r="B347" s="56"/>
      <c r="C347" s="56"/>
      <c r="D347" s="4"/>
      <c r="E347" s="182"/>
      <c r="F347" s="182"/>
      <c r="G347" s="182"/>
      <c r="H347" s="182"/>
      <c r="I347" s="182"/>
      <c r="J347" s="182"/>
      <c r="K347" s="182"/>
      <c r="L347" s="182"/>
      <c r="M347" s="182"/>
      <c r="N347" s="56"/>
    </row>
    <row r="348" spans="1:30" ht="16" thickBot="1">
      <c r="A348" s="56"/>
      <c r="B348" s="56"/>
      <c r="C348" s="56"/>
      <c r="D348" s="296" t="s">
        <v>376</v>
      </c>
      <c r="E348" s="297"/>
      <c r="F348" s="297"/>
      <c r="G348" s="297"/>
      <c r="H348" s="297"/>
      <c r="I348" s="297"/>
      <c r="J348" s="297"/>
      <c r="K348" s="297"/>
      <c r="L348" s="297"/>
      <c r="M348" s="45" t="s">
        <v>375</v>
      </c>
    </row>
    <row r="349" spans="1:30" ht="16" thickBot="1">
      <c r="A349" s="56"/>
      <c r="B349" s="56"/>
      <c r="C349" s="56"/>
      <c r="D349" s="191" t="s">
        <v>377</v>
      </c>
      <c r="E349" s="192" t="str">
        <f>+E324</f>
        <v>Nord Stream AG</v>
      </c>
      <c r="F349" s="192">
        <f t="shared" ref="F349:L349" si="21">+F324</f>
        <v>0</v>
      </c>
      <c r="G349" s="192">
        <f t="shared" si="21"/>
        <v>0</v>
      </c>
      <c r="H349" s="192">
        <f t="shared" si="21"/>
        <v>0</v>
      </c>
      <c r="I349" s="192">
        <f t="shared" si="21"/>
        <v>0</v>
      </c>
      <c r="J349" s="192">
        <f t="shared" si="21"/>
        <v>0</v>
      </c>
      <c r="K349" s="192">
        <f t="shared" si="21"/>
        <v>0</v>
      </c>
      <c r="L349" s="192">
        <f t="shared" si="21"/>
        <v>0</v>
      </c>
      <c r="M349" s="45" t="s">
        <v>245</v>
      </c>
      <c r="O349" s="14"/>
    </row>
    <row r="350" spans="1:30" ht="16" thickBot="1">
      <c r="A350" s="56"/>
      <c r="B350" s="56"/>
      <c r="C350" s="56"/>
      <c r="D350" s="376" t="s">
        <v>809</v>
      </c>
      <c r="E350" s="377"/>
      <c r="F350" s="377"/>
      <c r="G350" s="377"/>
      <c r="H350" s="377"/>
      <c r="I350" s="377"/>
      <c r="J350" s="377"/>
      <c r="K350" s="377"/>
      <c r="L350" s="378"/>
      <c r="M350" s="45"/>
      <c r="O350" s="14"/>
    </row>
    <row r="351" spans="1:30">
      <c r="A351" s="56"/>
      <c r="B351" s="56"/>
      <c r="C351" s="56"/>
      <c r="D351" s="193" t="s">
        <v>810</v>
      </c>
      <c r="E351" s="194" t="s">
        <v>650</v>
      </c>
      <c r="F351" s="194" t="s">
        <v>648</v>
      </c>
      <c r="G351" s="194" t="s">
        <v>648</v>
      </c>
      <c r="H351" s="194" t="s">
        <v>648</v>
      </c>
      <c r="I351" s="194" t="s">
        <v>648</v>
      </c>
      <c r="J351" s="194" t="s">
        <v>648</v>
      </c>
      <c r="K351" s="194" t="s">
        <v>648</v>
      </c>
      <c r="L351" s="195" t="s">
        <v>648</v>
      </c>
      <c r="M351" s="45" t="s">
        <v>383</v>
      </c>
      <c r="N351" s="56"/>
      <c r="O351" s="325" t="s">
        <v>384</v>
      </c>
      <c r="P351" s="326"/>
      <c r="Q351" s="326"/>
      <c r="R351" s="326"/>
      <c r="S351" s="326"/>
      <c r="T351" s="326"/>
      <c r="U351" s="326"/>
      <c r="V351" s="326"/>
      <c r="W351" s="326"/>
      <c r="X351" s="326"/>
      <c r="Y351" s="326"/>
      <c r="Z351" s="326"/>
      <c r="AA351" s="326"/>
      <c r="AB351" s="326"/>
      <c r="AC351" s="327"/>
    </row>
    <row r="352" spans="1:30" ht="15" customHeight="1">
      <c r="A352" s="56"/>
      <c r="B352" s="56"/>
      <c r="C352" s="56"/>
      <c r="D352" s="196" t="s">
        <v>386</v>
      </c>
      <c r="E352" s="42" t="s">
        <v>650</v>
      </c>
      <c r="F352" s="42" t="s">
        <v>648</v>
      </c>
      <c r="G352" s="42" t="s">
        <v>648</v>
      </c>
      <c r="H352" s="42" t="s">
        <v>648</v>
      </c>
      <c r="I352" s="42" t="s">
        <v>648</v>
      </c>
      <c r="J352" s="42" t="s">
        <v>648</v>
      </c>
      <c r="K352" s="42" t="s">
        <v>648</v>
      </c>
      <c r="L352" s="41" t="s">
        <v>648</v>
      </c>
      <c r="M352" s="45" t="s">
        <v>385</v>
      </c>
      <c r="N352" s="56"/>
      <c r="O352" s="7"/>
    </row>
    <row r="353" spans="1:29" ht="15" customHeight="1" thickBot="1">
      <c r="A353" s="56"/>
      <c r="B353" s="56"/>
      <c r="C353" s="56"/>
      <c r="D353" s="197" t="s">
        <v>811</v>
      </c>
      <c r="E353" s="106" t="s">
        <v>650</v>
      </c>
      <c r="F353" s="106" t="s">
        <v>648</v>
      </c>
      <c r="G353" s="106" t="s">
        <v>648</v>
      </c>
      <c r="H353" s="106" t="s">
        <v>648</v>
      </c>
      <c r="I353" s="106" t="s">
        <v>648</v>
      </c>
      <c r="J353" s="106" t="s">
        <v>648</v>
      </c>
      <c r="K353" s="106" t="s">
        <v>648</v>
      </c>
      <c r="L353" s="99" t="s">
        <v>648</v>
      </c>
      <c r="M353" s="56"/>
      <c r="N353" s="56"/>
      <c r="O353" s="7"/>
    </row>
    <row r="354" spans="1:29" ht="15" customHeight="1" thickBot="1">
      <c r="A354" s="56"/>
      <c r="B354" s="56"/>
      <c r="C354" s="56"/>
      <c r="D354" s="376" t="s">
        <v>812</v>
      </c>
      <c r="E354" s="377"/>
      <c r="F354" s="377"/>
      <c r="G354" s="377"/>
      <c r="H354" s="377"/>
      <c r="I354" s="377"/>
      <c r="J354" s="377"/>
      <c r="K354" s="377"/>
      <c r="L354" s="378"/>
      <c r="M354" s="56"/>
      <c r="N354" s="56"/>
      <c r="O354" s="7"/>
    </row>
    <row r="355" spans="1:29" ht="15" customHeight="1">
      <c r="A355" s="56"/>
      <c r="B355" s="56"/>
      <c r="C355" s="56"/>
      <c r="D355" s="193" t="s">
        <v>813</v>
      </c>
      <c r="E355" s="194" t="s">
        <v>650</v>
      </c>
      <c r="F355" s="194" t="s">
        <v>650</v>
      </c>
      <c r="G355" s="194" t="s">
        <v>650</v>
      </c>
      <c r="H355" s="194" t="s">
        <v>650</v>
      </c>
      <c r="I355" s="194" t="s">
        <v>650</v>
      </c>
      <c r="J355" s="194" t="s">
        <v>648</v>
      </c>
      <c r="K355" s="194" t="s">
        <v>648</v>
      </c>
      <c r="L355" s="195" t="s">
        <v>648</v>
      </c>
      <c r="M355" s="45" t="s">
        <v>378</v>
      </c>
      <c r="O355" s="14"/>
    </row>
    <row r="356" spans="1:29" ht="15" customHeight="1">
      <c r="A356" s="56"/>
      <c r="B356" s="56"/>
      <c r="C356" s="56"/>
      <c r="D356" s="93" t="s">
        <v>380</v>
      </c>
      <c r="E356" s="42" t="s">
        <v>819</v>
      </c>
      <c r="F356" s="42" t="s">
        <v>819</v>
      </c>
      <c r="G356" s="42" t="s">
        <v>819</v>
      </c>
      <c r="H356" s="42" t="s">
        <v>819</v>
      </c>
      <c r="I356" s="42" t="s">
        <v>819</v>
      </c>
      <c r="J356" s="42" t="s">
        <v>819</v>
      </c>
      <c r="K356" s="42" t="s">
        <v>819</v>
      </c>
      <c r="L356" s="42" t="s">
        <v>819</v>
      </c>
      <c r="M356" s="45" t="s">
        <v>379</v>
      </c>
      <c r="N356" s="56"/>
      <c r="O356" s="7"/>
      <c r="P356" s="7"/>
      <c r="Q356" s="7"/>
      <c r="R356" s="7"/>
      <c r="S356" s="7"/>
      <c r="T356" s="7"/>
      <c r="U356" s="7"/>
      <c r="V356" s="7"/>
      <c r="W356" s="7"/>
      <c r="X356" s="7"/>
      <c r="Y356" s="7"/>
      <c r="Z356" s="7"/>
      <c r="AA356" s="7"/>
      <c r="AB356" s="7"/>
    </row>
    <row r="357" spans="1:29" ht="15" customHeight="1" thickBot="1">
      <c r="A357" s="56"/>
      <c r="B357" s="56"/>
      <c r="C357" s="56"/>
      <c r="D357" s="158" t="s">
        <v>382</v>
      </c>
      <c r="E357" s="106" t="s">
        <v>820</v>
      </c>
      <c r="F357" s="106" t="s">
        <v>820</v>
      </c>
      <c r="G357" s="106" t="s">
        <v>820</v>
      </c>
      <c r="H357" s="106" t="s">
        <v>820</v>
      </c>
      <c r="I357" s="106" t="s">
        <v>820</v>
      </c>
      <c r="J357" s="106" t="s">
        <v>820</v>
      </c>
      <c r="K357" s="106" t="s">
        <v>820</v>
      </c>
      <c r="L357" s="106" t="s">
        <v>820</v>
      </c>
      <c r="M357" s="45" t="s">
        <v>381</v>
      </c>
      <c r="N357" s="7"/>
    </row>
    <row r="358" spans="1:29" ht="15" customHeight="1">
      <c r="A358" s="56"/>
      <c r="B358" s="56"/>
      <c r="C358" s="56"/>
      <c r="D358" s="193" t="s">
        <v>814</v>
      </c>
      <c r="E358" s="194" t="s">
        <v>650</v>
      </c>
      <c r="F358" s="194" t="s">
        <v>650</v>
      </c>
      <c r="G358" s="194" t="s">
        <v>650</v>
      </c>
      <c r="H358" s="194" t="s">
        <v>650</v>
      </c>
      <c r="I358" s="194" t="s">
        <v>650</v>
      </c>
      <c r="J358" s="194" t="s">
        <v>648</v>
      </c>
      <c r="K358" s="194" t="s">
        <v>648</v>
      </c>
      <c r="L358" s="195" t="s">
        <v>648</v>
      </c>
      <c r="M358" s="45" t="s">
        <v>387</v>
      </c>
      <c r="N358" s="56"/>
      <c r="O358" s="7"/>
    </row>
    <row r="359" spans="1:29" ht="15" customHeight="1">
      <c r="A359" s="56"/>
      <c r="B359" s="56"/>
      <c r="C359" s="56"/>
      <c r="D359" s="93" t="s">
        <v>380</v>
      </c>
      <c r="E359" s="42" t="s">
        <v>819</v>
      </c>
      <c r="F359" s="42" t="s">
        <v>819</v>
      </c>
      <c r="G359" s="42" t="s">
        <v>819</v>
      </c>
      <c r="H359" s="42" t="s">
        <v>819</v>
      </c>
      <c r="I359" s="42" t="s">
        <v>819</v>
      </c>
      <c r="J359" s="42" t="s">
        <v>819</v>
      </c>
      <c r="K359" s="42" t="s">
        <v>819</v>
      </c>
      <c r="L359" s="42" t="s">
        <v>819</v>
      </c>
      <c r="M359" s="45" t="s">
        <v>379</v>
      </c>
      <c r="N359" s="56"/>
      <c r="O359" s="7"/>
    </row>
    <row r="360" spans="1:29" ht="15" customHeight="1" thickBot="1">
      <c r="A360" s="56"/>
      <c r="B360" s="56"/>
      <c r="C360" s="56"/>
      <c r="D360" s="158" t="s">
        <v>382</v>
      </c>
      <c r="E360" s="106" t="s">
        <v>820</v>
      </c>
      <c r="F360" s="106" t="s">
        <v>820</v>
      </c>
      <c r="G360" s="106" t="s">
        <v>820</v>
      </c>
      <c r="H360" s="106" t="s">
        <v>820</v>
      </c>
      <c r="I360" s="106" t="s">
        <v>820</v>
      </c>
      <c r="J360" s="106" t="s">
        <v>820</v>
      </c>
      <c r="K360" s="106" t="s">
        <v>820</v>
      </c>
      <c r="L360" s="106" t="s">
        <v>820</v>
      </c>
      <c r="M360" s="45" t="s">
        <v>381</v>
      </c>
      <c r="N360" s="56"/>
      <c r="O360" s="7"/>
    </row>
    <row r="361" spans="1:29">
      <c r="A361" s="56"/>
      <c r="B361" s="56"/>
      <c r="C361" s="56"/>
      <c r="D361" s="193" t="s">
        <v>816</v>
      </c>
      <c r="E361" s="194" t="s">
        <v>650</v>
      </c>
      <c r="F361" s="194" t="s">
        <v>650</v>
      </c>
      <c r="G361" s="194" t="s">
        <v>650</v>
      </c>
      <c r="H361" s="194" t="s">
        <v>650</v>
      </c>
      <c r="I361" s="194" t="s">
        <v>650</v>
      </c>
      <c r="J361" s="194" t="s">
        <v>648</v>
      </c>
      <c r="K361" s="194" t="s">
        <v>648</v>
      </c>
      <c r="L361" s="195" t="s">
        <v>648</v>
      </c>
      <c r="M361" s="45" t="s">
        <v>388</v>
      </c>
      <c r="N361" s="56"/>
      <c r="O361" s="7"/>
    </row>
    <row r="362" spans="1:29" ht="15" customHeight="1">
      <c r="A362" s="56"/>
      <c r="B362" s="56"/>
      <c r="C362" s="56"/>
      <c r="D362" s="93" t="s">
        <v>380</v>
      </c>
      <c r="E362" s="42" t="s">
        <v>819</v>
      </c>
      <c r="F362" s="42" t="s">
        <v>819</v>
      </c>
      <c r="G362" s="42" t="s">
        <v>819</v>
      </c>
      <c r="H362" s="42" t="s">
        <v>819</v>
      </c>
      <c r="I362" s="42" t="s">
        <v>819</v>
      </c>
      <c r="J362" s="42" t="s">
        <v>819</v>
      </c>
      <c r="K362" s="42" t="s">
        <v>819</v>
      </c>
      <c r="L362" s="42" t="s">
        <v>819</v>
      </c>
      <c r="M362" s="45" t="s">
        <v>379</v>
      </c>
      <c r="N362" s="56"/>
      <c r="O362" s="7"/>
    </row>
    <row r="363" spans="1:29" ht="15" customHeight="1" thickBot="1">
      <c r="A363" s="56"/>
      <c r="B363" s="56"/>
      <c r="C363" s="56"/>
      <c r="D363" s="158" t="s">
        <v>382</v>
      </c>
      <c r="E363" s="106" t="s">
        <v>820</v>
      </c>
      <c r="F363" s="106" t="s">
        <v>820</v>
      </c>
      <c r="G363" s="106" t="s">
        <v>820</v>
      </c>
      <c r="H363" s="106" t="s">
        <v>820</v>
      </c>
      <c r="I363" s="106" t="s">
        <v>820</v>
      </c>
      <c r="J363" s="106" t="s">
        <v>820</v>
      </c>
      <c r="K363" s="106" t="s">
        <v>820</v>
      </c>
      <c r="L363" s="106" t="s">
        <v>820</v>
      </c>
      <c r="M363" s="45" t="s">
        <v>381</v>
      </c>
      <c r="N363" s="56"/>
      <c r="O363" s="7"/>
    </row>
    <row r="364" spans="1:29" ht="15" customHeight="1">
      <c r="A364" s="56"/>
      <c r="B364" s="56"/>
      <c r="C364" s="56"/>
      <c r="D364" s="193" t="s">
        <v>399</v>
      </c>
      <c r="E364" s="194" t="s">
        <v>650</v>
      </c>
      <c r="F364" s="194" t="s">
        <v>650</v>
      </c>
      <c r="G364" s="194" t="s">
        <v>650</v>
      </c>
      <c r="H364" s="194" t="s">
        <v>650</v>
      </c>
      <c r="I364" s="194" t="s">
        <v>650</v>
      </c>
      <c r="J364" s="194" t="s">
        <v>648</v>
      </c>
      <c r="K364" s="194" t="s">
        <v>648</v>
      </c>
      <c r="L364" s="195" t="s">
        <v>648</v>
      </c>
      <c r="M364" s="45" t="s">
        <v>398</v>
      </c>
      <c r="N364" s="56"/>
      <c r="O364" s="328" t="s">
        <v>400</v>
      </c>
      <c r="P364" s="329"/>
      <c r="Q364" s="329"/>
      <c r="R364" s="329"/>
      <c r="S364" s="329"/>
      <c r="T364" s="329"/>
      <c r="U364" s="329"/>
      <c r="V364" s="329"/>
      <c r="W364" s="329"/>
      <c r="X364" s="329"/>
      <c r="Y364" s="329"/>
      <c r="Z364" s="329"/>
      <c r="AA364" s="329"/>
      <c r="AB364" s="329"/>
      <c r="AC364" s="330"/>
    </row>
    <row r="365" spans="1:29" ht="15" customHeight="1">
      <c r="A365" s="56"/>
      <c r="B365" s="56"/>
      <c r="C365" s="56"/>
      <c r="D365" s="93" t="s">
        <v>380</v>
      </c>
      <c r="E365" s="42" t="s">
        <v>819</v>
      </c>
      <c r="F365" s="42" t="s">
        <v>819</v>
      </c>
      <c r="G365" s="42" t="s">
        <v>819</v>
      </c>
      <c r="H365" s="42" t="s">
        <v>819</v>
      </c>
      <c r="I365" s="42" t="s">
        <v>819</v>
      </c>
      <c r="J365" s="42" t="s">
        <v>819</v>
      </c>
      <c r="K365" s="42" t="s">
        <v>819</v>
      </c>
      <c r="L365" s="42" t="s">
        <v>819</v>
      </c>
      <c r="M365" s="45" t="s">
        <v>379</v>
      </c>
      <c r="N365" s="56"/>
      <c r="O365" s="331"/>
      <c r="P365" s="332"/>
      <c r="Q365" s="332"/>
      <c r="R365" s="332"/>
      <c r="S365" s="332"/>
      <c r="T365" s="332"/>
      <c r="U365" s="332"/>
      <c r="V365" s="332"/>
      <c r="W365" s="332"/>
      <c r="X365" s="332"/>
      <c r="Y365" s="332"/>
      <c r="Z365" s="332"/>
      <c r="AA365" s="332"/>
      <c r="AB365" s="332"/>
      <c r="AC365" s="333"/>
    </row>
    <row r="366" spans="1:29" ht="15" customHeight="1" thickBot="1">
      <c r="A366" s="56"/>
      <c r="B366" s="56"/>
      <c r="C366" s="56"/>
      <c r="D366" s="158" t="s">
        <v>382</v>
      </c>
      <c r="E366" s="106" t="s">
        <v>820</v>
      </c>
      <c r="F366" s="106" t="s">
        <v>820</v>
      </c>
      <c r="G366" s="106" t="s">
        <v>820</v>
      </c>
      <c r="H366" s="106" t="s">
        <v>820</v>
      </c>
      <c r="I366" s="106" t="s">
        <v>820</v>
      </c>
      <c r="J366" s="106" t="s">
        <v>820</v>
      </c>
      <c r="K366" s="106" t="s">
        <v>820</v>
      </c>
      <c r="L366" s="106" t="s">
        <v>820</v>
      </c>
      <c r="M366" s="45" t="s">
        <v>381</v>
      </c>
      <c r="N366" s="56"/>
      <c r="O366" s="331"/>
      <c r="P366" s="332"/>
      <c r="Q366" s="332"/>
      <c r="R366" s="332"/>
      <c r="S366" s="332"/>
      <c r="T366" s="332"/>
      <c r="U366" s="332"/>
      <c r="V366" s="332"/>
      <c r="W366" s="332"/>
      <c r="X366" s="332"/>
      <c r="Y366" s="332"/>
      <c r="Z366" s="332"/>
      <c r="AA366" s="332"/>
      <c r="AB366" s="332"/>
      <c r="AC366" s="333"/>
    </row>
    <row r="367" spans="1:29" ht="14" customHeight="1">
      <c r="A367" s="56"/>
      <c r="B367" s="56"/>
      <c r="C367" s="56"/>
      <c r="D367" s="198" t="s">
        <v>817</v>
      </c>
      <c r="E367" s="194" t="s">
        <v>650</v>
      </c>
      <c r="F367" s="194" t="s">
        <v>650</v>
      </c>
      <c r="G367" s="194" t="s">
        <v>650</v>
      </c>
      <c r="H367" s="194" t="s">
        <v>650</v>
      </c>
      <c r="I367" s="194" t="s">
        <v>650</v>
      </c>
      <c r="J367" s="194" t="s">
        <v>648</v>
      </c>
      <c r="K367" s="194" t="s">
        <v>648</v>
      </c>
      <c r="L367" s="195" t="s">
        <v>648</v>
      </c>
      <c r="M367" s="45" t="s">
        <v>401</v>
      </c>
      <c r="N367" s="56"/>
      <c r="O367" s="334" t="s">
        <v>402</v>
      </c>
      <c r="P367" s="335"/>
      <c r="Q367" s="335"/>
      <c r="R367" s="335"/>
      <c r="S367" s="335"/>
      <c r="T367" s="335"/>
      <c r="U367" s="335"/>
      <c r="V367" s="335"/>
      <c r="W367" s="335"/>
      <c r="X367" s="335"/>
      <c r="Y367" s="335"/>
      <c r="Z367" s="335"/>
      <c r="AA367" s="335"/>
      <c r="AB367" s="335"/>
      <c r="AC367" s="336"/>
    </row>
    <row r="368" spans="1:29" ht="15" customHeight="1">
      <c r="A368" s="56"/>
      <c r="B368" s="56"/>
      <c r="C368" s="56"/>
      <c r="D368" s="93" t="s">
        <v>380</v>
      </c>
      <c r="E368" s="42" t="s">
        <v>819</v>
      </c>
      <c r="F368" s="42" t="s">
        <v>819</v>
      </c>
      <c r="G368" s="42" t="s">
        <v>819</v>
      </c>
      <c r="H368" s="42" t="s">
        <v>819</v>
      </c>
      <c r="I368" s="42" t="s">
        <v>819</v>
      </c>
      <c r="J368" s="42" t="s">
        <v>819</v>
      </c>
      <c r="K368" s="42" t="s">
        <v>819</v>
      </c>
      <c r="L368" s="42" t="s">
        <v>819</v>
      </c>
      <c r="M368" s="45" t="s">
        <v>379</v>
      </c>
      <c r="N368" s="56"/>
      <c r="O368" s="337"/>
      <c r="P368" s="338"/>
      <c r="Q368" s="338"/>
      <c r="R368" s="338"/>
      <c r="S368" s="338"/>
      <c r="T368" s="338"/>
      <c r="U368" s="338"/>
      <c r="V368" s="338"/>
      <c r="W368" s="338"/>
      <c r="X368" s="338"/>
      <c r="Y368" s="338"/>
      <c r="Z368" s="338"/>
      <c r="AA368" s="338"/>
      <c r="AB368" s="338"/>
      <c r="AC368" s="339"/>
    </row>
    <row r="369" spans="1:29" ht="15" customHeight="1" thickBot="1">
      <c r="A369" s="56"/>
      <c r="B369" s="56"/>
      <c r="C369" s="56"/>
      <c r="D369" s="199" t="s">
        <v>382</v>
      </c>
      <c r="E369" s="106" t="s">
        <v>820</v>
      </c>
      <c r="F369" s="106" t="s">
        <v>820</v>
      </c>
      <c r="G369" s="106" t="s">
        <v>820</v>
      </c>
      <c r="H369" s="106" t="s">
        <v>820</v>
      </c>
      <c r="I369" s="106" t="s">
        <v>820</v>
      </c>
      <c r="J369" s="106" t="s">
        <v>820</v>
      </c>
      <c r="K369" s="106" t="s">
        <v>820</v>
      </c>
      <c r="L369" s="106" t="s">
        <v>820</v>
      </c>
      <c r="M369" s="45" t="s">
        <v>381</v>
      </c>
      <c r="N369" s="56"/>
      <c r="O369" s="337"/>
      <c r="P369" s="338"/>
      <c r="Q369" s="338"/>
      <c r="R369" s="338"/>
      <c r="S369" s="338"/>
      <c r="T369" s="338"/>
      <c r="U369" s="338"/>
      <c r="V369" s="338"/>
      <c r="W369" s="338"/>
      <c r="X369" s="338"/>
      <c r="Y369" s="338"/>
      <c r="Z369" s="338"/>
      <c r="AA369" s="338"/>
      <c r="AB369" s="338"/>
      <c r="AC369" s="339"/>
    </row>
    <row r="370" spans="1:29" ht="15" customHeight="1">
      <c r="A370" s="56"/>
      <c r="B370" s="56"/>
      <c r="C370" s="56"/>
      <c r="D370" s="200" t="s">
        <v>815</v>
      </c>
      <c r="E370" s="194" t="s">
        <v>650</v>
      </c>
      <c r="F370" s="194" t="s">
        <v>650</v>
      </c>
      <c r="G370" s="194" t="s">
        <v>650</v>
      </c>
      <c r="H370" s="194" t="s">
        <v>650</v>
      </c>
      <c r="I370" s="194" t="s">
        <v>650</v>
      </c>
      <c r="J370" s="194" t="s">
        <v>648</v>
      </c>
      <c r="K370" s="194" t="s">
        <v>648</v>
      </c>
      <c r="L370" s="195" t="s">
        <v>648</v>
      </c>
      <c r="M370" s="45" t="s">
        <v>394</v>
      </c>
      <c r="N370" s="56"/>
      <c r="O370" s="328" t="s">
        <v>395</v>
      </c>
      <c r="P370" s="329"/>
      <c r="Q370" s="329"/>
      <c r="R370" s="329"/>
      <c r="S370" s="329"/>
      <c r="T370" s="329"/>
      <c r="U370" s="329"/>
      <c r="V370" s="329"/>
      <c r="W370" s="329"/>
      <c r="X370" s="329"/>
      <c r="Y370" s="329"/>
      <c r="Z370" s="329"/>
      <c r="AA370" s="329"/>
      <c r="AB370" s="329"/>
      <c r="AC370" s="330"/>
    </row>
    <row r="371" spans="1:29" ht="15" customHeight="1">
      <c r="A371" s="56"/>
      <c r="B371" s="56"/>
      <c r="C371" s="56"/>
      <c r="D371" s="93" t="s">
        <v>380</v>
      </c>
      <c r="E371" s="42" t="s">
        <v>819</v>
      </c>
      <c r="F371" s="42" t="s">
        <v>819</v>
      </c>
      <c r="G371" s="42" t="s">
        <v>819</v>
      </c>
      <c r="H371" s="42" t="s">
        <v>819</v>
      </c>
      <c r="I371" s="42" t="s">
        <v>819</v>
      </c>
      <c r="J371" s="42" t="s">
        <v>819</v>
      </c>
      <c r="K371" s="42" t="s">
        <v>819</v>
      </c>
      <c r="L371" s="42" t="s">
        <v>819</v>
      </c>
      <c r="M371" s="45" t="s">
        <v>379</v>
      </c>
      <c r="N371" s="56"/>
      <c r="O371" s="331"/>
      <c r="P371" s="332"/>
      <c r="Q371" s="332"/>
      <c r="R371" s="332"/>
      <c r="S371" s="332"/>
      <c r="T371" s="332"/>
      <c r="U371" s="332"/>
      <c r="V371" s="332"/>
      <c r="W371" s="332"/>
      <c r="X371" s="332"/>
      <c r="Y371" s="332"/>
      <c r="Z371" s="332"/>
      <c r="AA371" s="332"/>
      <c r="AB371" s="332"/>
      <c r="AC371" s="333"/>
    </row>
    <row r="372" spans="1:29" ht="15" customHeight="1" thickBot="1">
      <c r="A372" s="56"/>
      <c r="B372" s="56"/>
      <c r="C372" s="56"/>
      <c r="D372" s="199" t="s">
        <v>382</v>
      </c>
      <c r="E372" s="106" t="s">
        <v>820</v>
      </c>
      <c r="F372" s="106" t="s">
        <v>820</v>
      </c>
      <c r="G372" s="106" t="s">
        <v>820</v>
      </c>
      <c r="H372" s="106" t="s">
        <v>820</v>
      </c>
      <c r="I372" s="106" t="s">
        <v>820</v>
      </c>
      <c r="J372" s="106" t="s">
        <v>820</v>
      </c>
      <c r="K372" s="106" t="s">
        <v>820</v>
      </c>
      <c r="L372" s="106" t="s">
        <v>820</v>
      </c>
      <c r="M372" s="45" t="s">
        <v>381</v>
      </c>
      <c r="N372" s="56"/>
      <c r="O372" s="340"/>
      <c r="P372" s="341"/>
      <c r="Q372" s="341"/>
      <c r="R372" s="341"/>
      <c r="S372" s="341"/>
      <c r="T372" s="341"/>
      <c r="U372" s="341"/>
      <c r="V372" s="341"/>
      <c r="W372" s="341"/>
      <c r="X372" s="341"/>
      <c r="Y372" s="341"/>
      <c r="Z372" s="341"/>
      <c r="AA372" s="341"/>
      <c r="AB372" s="341"/>
      <c r="AC372" s="342"/>
    </row>
    <row r="373" spans="1:29" ht="15" customHeight="1">
      <c r="A373" s="56"/>
      <c r="B373" s="56"/>
      <c r="C373" s="56"/>
      <c r="D373" s="200" t="s">
        <v>397</v>
      </c>
      <c r="E373" s="194" t="s">
        <v>650</v>
      </c>
      <c r="F373" s="194" t="s">
        <v>650</v>
      </c>
      <c r="G373" s="194" t="s">
        <v>650</v>
      </c>
      <c r="H373" s="194" t="s">
        <v>650</v>
      </c>
      <c r="I373" s="194" t="s">
        <v>650</v>
      </c>
      <c r="J373" s="194" t="s">
        <v>648</v>
      </c>
      <c r="K373" s="194" t="s">
        <v>648</v>
      </c>
      <c r="L373" s="195" t="s">
        <v>648</v>
      </c>
      <c r="M373" s="45" t="s">
        <v>396</v>
      </c>
      <c r="N373" s="56"/>
      <c r="O373" s="328" t="s">
        <v>59</v>
      </c>
      <c r="P373" s="329"/>
      <c r="Q373" s="329"/>
      <c r="R373" s="329"/>
      <c r="S373" s="329"/>
      <c r="T373" s="329"/>
      <c r="U373" s="329"/>
      <c r="V373" s="329"/>
      <c r="W373" s="329"/>
      <c r="X373" s="329"/>
      <c r="Y373" s="329"/>
      <c r="Z373" s="329"/>
      <c r="AA373" s="329"/>
      <c r="AB373" s="329"/>
      <c r="AC373" s="330"/>
    </row>
    <row r="374" spans="1:29" ht="15" customHeight="1">
      <c r="A374" s="56"/>
      <c r="B374" s="56"/>
      <c r="C374" s="56"/>
      <c r="D374" s="93" t="s">
        <v>380</v>
      </c>
      <c r="E374" s="42" t="s">
        <v>819</v>
      </c>
      <c r="F374" s="42" t="s">
        <v>819</v>
      </c>
      <c r="G374" s="42" t="s">
        <v>819</v>
      </c>
      <c r="H374" s="42" t="s">
        <v>819</v>
      </c>
      <c r="I374" s="42" t="s">
        <v>819</v>
      </c>
      <c r="J374" s="42" t="s">
        <v>819</v>
      </c>
      <c r="K374" s="42" t="s">
        <v>819</v>
      </c>
      <c r="L374" s="42" t="s">
        <v>819</v>
      </c>
      <c r="M374" s="45" t="s">
        <v>379</v>
      </c>
      <c r="N374" s="56"/>
      <c r="O374" s="331"/>
      <c r="P374" s="332"/>
      <c r="Q374" s="332"/>
      <c r="R374" s="332"/>
      <c r="S374" s="332"/>
      <c r="T374" s="332"/>
      <c r="U374" s="332"/>
      <c r="V374" s="332"/>
      <c r="W374" s="332"/>
      <c r="X374" s="332"/>
      <c r="Y374" s="332"/>
      <c r="Z374" s="332"/>
      <c r="AA374" s="332"/>
      <c r="AB374" s="332"/>
      <c r="AC374" s="333"/>
    </row>
    <row r="375" spans="1:29" ht="15" customHeight="1" thickBot="1">
      <c r="A375" s="56"/>
      <c r="B375" s="56"/>
      <c r="C375" s="56"/>
      <c r="D375" s="199" t="s">
        <v>382</v>
      </c>
      <c r="E375" s="172" t="s">
        <v>820</v>
      </c>
      <c r="F375" s="172" t="s">
        <v>820</v>
      </c>
      <c r="G375" s="172" t="s">
        <v>820</v>
      </c>
      <c r="H375" s="172" t="s">
        <v>820</v>
      </c>
      <c r="I375" s="172" t="s">
        <v>820</v>
      </c>
      <c r="J375" s="172" t="s">
        <v>820</v>
      </c>
      <c r="K375" s="172" t="s">
        <v>820</v>
      </c>
      <c r="L375" s="172" t="s">
        <v>820</v>
      </c>
      <c r="M375" s="45" t="s">
        <v>381</v>
      </c>
      <c r="N375" s="56"/>
      <c r="O375" s="340"/>
      <c r="P375" s="341"/>
      <c r="Q375" s="341"/>
      <c r="R375" s="341"/>
      <c r="S375" s="341"/>
      <c r="T375" s="341"/>
      <c r="U375" s="341"/>
      <c r="V375" s="341"/>
      <c r="W375" s="341"/>
      <c r="X375" s="341"/>
      <c r="Y375" s="341"/>
      <c r="Z375" s="341"/>
      <c r="AA375" s="341"/>
      <c r="AB375" s="341"/>
      <c r="AC375" s="342"/>
    </row>
    <row r="376" spans="1:29" ht="14" customHeight="1">
      <c r="A376" s="56"/>
      <c r="B376" s="56"/>
      <c r="C376" s="56"/>
      <c r="D376" s="200" t="s">
        <v>390</v>
      </c>
      <c r="E376" s="194" t="s">
        <v>650</v>
      </c>
      <c r="F376" s="194" t="s">
        <v>650</v>
      </c>
      <c r="G376" s="194" t="s">
        <v>650</v>
      </c>
      <c r="H376" s="194" t="s">
        <v>650</v>
      </c>
      <c r="I376" s="194" t="s">
        <v>650</v>
      </c>
      <c r="J376" s="194" t="s">
        <v>648</v>
      </c>
      <c r="K376" s="194" t="s">
        <v>648</v>
      </c>
      <c r="L376" s="195" t="s">
        <v>648</v>
      </c>
      <c r="M376" s="45" t="s">
        <v>389</v>
      </c>
      <c r="N376" s="56"/>
      <c r="O376" s="7"/>
    </row>
    <row r="377" spans="1:29" ht="15" customHeight="1">
      <c r="A377" s="56"/>
      <c r="B377" s="56"/>
      <c r="C377" s="56"/>
      <c r="D377" s="93" t="s">
        <v>392</v>
      </c>
      <c r="E377" s="42" t="s">
        <v>821</v>
      </c>
      <c r="F377" s="42" t="s">
        <v>821</v>
      </c>
      <c r="G377" s="42" t="s">
        <v>821</v>
      </c>
      <c r="H377" s="42" t="s">
        <v>821</v>
      </c>
      <c r="I377" s="42" t="s">
        <v>821</v>
      </c>
      <c r="J377" s="42" t="s">
        <v>821</v>
      </c>
      <c r="K377" s="42" t="s">
        <v>821</v>
      </c>
      <c r="L377" s="41" t="s">
        <v>821</v>
      </c>
      <c r="M377" s="45" t="s">
        <v>391</v>
      </c>
      <c r="N377" s="56"/>
      <c r="O377" s="7"/>
    </row>
    <row r="378" spans="1:29" ht="30.5" customHeight="1" thickBot="1">
      <c r="A378" s="56"/>
      <c r="B378" s="56"/>
      <c r="C378" s="56"/>
      <c r="D378" s="201" t="s">
        <v>818</v>
      </c>
      <c r="E378" s="106">
        <v>0</v>
      </c>
      <c r="F378" s="106">
        <v>0</v>
      </c>
      <c r="G378" s="106">
        <v>0</v>
      </c>
      <c r="H378" s="106">
        <v>0</v>
      </c>
      <c r="I378" s="106">
        <v>0</v>
      </c>
      <c r="J378" s="106">
        <v>0</v>
      </c>
      <c r="K378" s="106">
        <v>0</v>
      </c>
      <c r="L378" s="99">
        <v>0</v>
      </c>
      <c r="M378" s="45" t="s">
        <v>393</v>
      </c>
      <c r="N378" s="56"/>
      <c r="O378" s="7"/>
    </row>
    <row r="379" spans="1:29" ht="15" customHeight="1" thickBot="1">
      <c r="A379" s="56"/>
      <c r="B379" s="56"/>
      <c r="C379" s="56"/>
    </row>
    <row r="380" spans="1:29" ht="16" thickBot="1">
      <c r="A380" s="56"/>
      <c r="B380" s="56"/>
      <c r="C380" s="56"/>
      <c r="D380" s="296" t="s">
        <v>771</v>
      </c>
      <c r="E380" s="297"/>
      <c r="F380" s="297"/>
      <c r="G380" s="297"/>
      <c r="H380" s="297"/>
      <c r="I380" s="297"/>
      <c r="J380" s="297"/>
      <c r="K380" s="297"/>
      <c r="L380" s="297"/>
      <c r="M380" s="298"/>
      <c r="N380" s="56"/>
    </row>
    <row r="381" spans="1:29" ht="16" thickBot="1">
      <c r="A381" s="56"/>
      <c r="B381" s="56"/>
      <c r="C381" s="56"/>
      <c r="D381" s="296" t="s">
        <v>772</v>
      </c>
      <c r="E381" s="297"/>
      <c r="F381" s="297"/>
      <c r="G381" s="297"/>
      <c r="H381" s="297"/>
      <c r="I381" s="297"/>
      <c r="J381" s="297"/>
      <c r="K381" s="297"/>
      <c r="L381" s="297"/>
      <c r="M381" s="298"/>
      <c r="N381" s="56"/>
    </row>
    <row r="382" spans="1:29">
      <c r="A382" s="56"/>
      <c r="B382" s="56"/>
      <c r="C382" s="56"/>
      <c r="D382" s="174" t="s">
        <v>247</v>
      </c>
      <c r="E382" s="169" t="str">
        <f t="shared" ref="E382:M382" si="22">+E324</f>
        <v>Nord Stream AG</v>
      </c>
      <c r="F382" s="169">
        <f t="shared" si="22"/>
        <v>0</v>
      </c>
      <c r="G382" s="169">
        <f t="shared" si="22"/>
        <v>0</v>
      </c>
      <c r="H382" s="169">
        <f t="shared" si="22"/>
        <v>0</v>
      </c>
      <c r="I382" s="169">
        <f t="shared" si="22"/>
        <v>0</v>
      </c>
      <c r="J382" s="169">
        <f t="shared" si="22"/>
        <v>0</v>
      </c>
      <c r="K382" s="169">
        <f t="shared" si="22"/>
        <v>0</v>
      </c>
      <c r="L382" s="169">
        <f t="shared" si="22"/>
        <v>0</v>
      </c>
      <c r="M382" s="170" t="str">
        <f t="shared" si="22"/>
        <v>Total amount</v>
      </c>
      <c r="N382" s="56"/>
    </row>
    <row r="383" spans="1:29">
      <c r="A383" s="56"/>
      <c r="B383" s="56"/>
      <c r="C383" s="56"/>
      <c r="D383" s="285" t="s">
        <v>773</v>
      </c>
      <c r="E383" s="383"/>
      <c r="F383" s="383"/>
      <c r="G383" s="383"/>
      <c r="H383" s="383"/>
      <c r="I383" s="383"/>
      <c r="J383" s="383"/>
      <c r="K383" s="383"/>
      <c r="L383" s="383"/>
      <c r="M383" s="286"/>
      <c r="N383" s="56"/>
    </row>
    <row r="384" spans="1:29">
      <c r="A384" s="56"/>
      <c r="B384" s="56"/>
      <c r="C384" s="56"/>
      <c r="D384" s="188" t="s">
        <v>774</v>
      </c>
      <c r="E384" s="42" t="s">
        <v>788</v>
      </c>
      <c r="F384" s="42" t="s">
        <v>788</v>
      </c>
      <c r="G384" s="42" t="s">
        <v>788</v>
      </c>
      <c r="H384" s="42" t="s">
        <v>788</v>
      </c>
      <c r="I384" s="42" t="s">
        <v>788</v>
      </c>
      <c r="J384" s="42" t="s">
        <v>788</v>
      </c>
      <c r="K384" s="42" t="s">
        <v>788</v>
      </c>
      <c r="L384" s="42" t="s">
        <v>788</v>
      </c>
      <c r="M384" s="150"/>
      <c r="N384" s="56"/>
    </row>
    <row r="385" spans="1:14" s="56" customFormat="1">
      <c r="D385" s="188" t="s">
        <v>775</v>
      </c>
      <c r="E385" s="42">
        <v>0</v>
      </c>
      <c r="F385" s="42">
        <v>0</v>
      </c>
      <c r="G385" s="42">
        <v>0</v>
      </c>
      <c r="H385" s="42">
        <v>0</v>
      </c>
      <c r="I385" s="42">
        <v>0</v>
      </c>
      <c r="J385" s="42">
        <v>0</v>
      </c>
      <c r="K385" s="42">
        <v>0</v>
      </c>
      <c r="L385" s="42">
        <v>0</v>
      </c>
      <c r="M385" s="150">
        <f>SUM(E385:L385)</f>
        <v>0</v>
      </c>
    </row>
    <row r="386" spans="1:14" s="56" customFormat="1">
      <c r="D386" s="23" t="s">
        <v>776</v>
      </c>
      <c r="E386" s="42">
        <v>0</v>
      </c>
      <c r="F386" s="42">
        <v>0</v>
      </c>
      <c r="G386" s="42">
        <v>0</v>
      </c>
      <c r="H386" s="42">
        <v>0</v>
      </c>
      <c r="I386" s="42">
        <v>0</v>
      </c>
      <c r="J386" s="42">
        <v>0</v>
      </c>
      <c r="K386" s="42">
        <v>0</v>
      </c>
      <c r="L386" s="42">
        <v>0</v>
      </c>
      <c r="M386" s="150">
        <f>SUM(E386:L386)</f>
        <v>0</v>
      </c>
    </row>
    <row r="387" spans="1:14" s="56" customFormat="1">
      <c r="D387" s="23" t="s">
        <v>777</v>
      </c>
      <c r="E387" s="181">
        <f>+E385-E386</f>
        <v>0</v>
      </c>
      <c r="F387" s="181">
        <f t="shared" ref="F387:L387" si="23">+F385-F386</f>
        <v>0</v>
      </c>
      <c r="G387" s="181">
        <f t="shared" si="23"/>
        <v>0</v>
      </c>
      <c r="H387" s="181">
        <f t="shared" si="23"/>
        <v>0</v>
      </c>
      <c r="I387" s="181">
        <f t="shared" si="23"/>
        <v>0</v>
      </c>
      <c r="J387" s="181">
        <f t="shared" si="23"/>
        <v>0</v>
      </c>
      <c r="K387" s="181">
        <f t="shared" si="23"/>
        <v>0</v>
      </c>
      <c r="L387" s="181">
        <f t="shared" si="23"/>
        <v>0</v>
      </c>
      <c r="M387" s="150">
        <f>SUM(E387:L387)</f>
        <v>0</v>
      </c>
    </row>
    <row r="388" spans="1:14">
      <c r="A388" s="56"/>
      <c r="B388" s="56"/>
      <c r="C388" s="56"/>
      <c r="D388" s="285" t="s">
        <v>778</v>
      </c>
      <c r="E388" s="383"/>
      <c r="F388" s="383"/>
      <c r="G388" s="383"/>
      <c r="H388" s="383"/>
      <c r="I388" s="383"/>
      <c r="J388" s="383"/>
      <c r="K388" s="383"/>
      <c r="L388" s="383"/>
      <c r="M388" s="286"/>
      <c r="N388" s="56"/>
    </row>
    <row r="389" spans="1:14" s="56" customFormat="1">
      <c r="D389" s="23" t="s">
        <v>779</v>
      </c>
      <c r="E389" s="42" t="s">
        <v>788</v>
      </c>
      <c r="F389" s="42" t="s">
        <v>788</v>
      </c>
      <c r="G389" s="42" t="s">
        <v>788</v>
      </c>
      <c r="H389" s="42" t="s">
        <v>788</v>
      </c>
      <c r="I389" s="42" t="s">
        <v>788</v>
      </c>
      <c r="J389" s="42" t="s">
        <v>788</v>
      </c>
      <c r="K389" s="42" t="s">
        <v>788</v>
      </c>
      <c r="L389" s="42" t="s">
        <v>788</v>
      </c>
      <c r="M389" s="184"/>
    </row>
    <row r="390" spans="1:14" s="56" customFormat="1">
      <c r="D390" s="23" t="s">
        <v>780</v>
      </c>
      <c r="E390" s="42">
        <v>0</v>
      </c>
      <c r="F390" s="42">
        <v>0</v>
      </c>
      <c r="G390" s="42">
        <v>0</v>
      </c>
      <c r="H390" s="42">
        <v>0</v>
      </c>
      <c r="I390" s="42">
        <v>0</v>
      </c>
      <c r="J390" s="42">
        <v>0</v>
      </c>
      <c r="K390" s="42">
        <v>0</v>
      </c>
      <c r="L390" s="42">
        <v>0</v>
      </c>
      <c r="M390" s="150">
        <f>SUM(E390:L390)</f>
        <v>0</v>
      </c>
    </row>
    <row r="391" spans="1:14" s="56" customFormat="1">
      <c r="D391" s="23" t="s">
        <v>781</v>
      </c>
      <c r="E391" s="42">
        <v>0</v>
      </c>
      <c r="F391" s="42">
        <v>0</v>
      </c>
      <c r="G391" s="42">
        <v>0</v>
      </c>
      <c r="H391" s="42">
        <v>0</v>
      </c>
      <c r="I391" s="42">
        <v>0</v>
      </c>
      <c r="J391" s="42">
        <v>0</v>
      </c>
      <c r="K391" s="42">
        <v>0</v>
      </c>
      <c r="L391" s="42">
        <v>0</v>
      </c>
      <c r="M391" s="150">
        <f>SUM(E391:L391)</f>
        <v>0</v>
      </c>
    </row>
    <row r="392" spans="1:14" s="56" customFormat="1">
      <c r="D392" s="23" t="s">
        <v>782</v>
      </c>
      <c r="E392" s="181">
        <f>+E390-E391</f>
        <v>0</v>
      </c>
      <c r="F392" s="181">
        <f t="shared" ref="F392" si="24">+F390-F391</f>
        <v>0</v>
      </c>
      <c r="G392" s="181">
        <f t="shared" ref="G392" si="25">+G390-G391</f>
        <v>0</v>
      </c>
      <c r="H392" s="181">
        <f t="shared" ref="H392" si="26">+H390-H391</f>
        <v>0</v>
      </c>
      <c r="I392" s="181">
        <f t="shared" ref="I392" si="27">+I390-I391</f>
        <v>0</v>
      </c>
      <c r="J392" s="181">
        <f t="shared" ref="J392" si="28">+J390-J391</f>
        <v>0</v>
      </c>
      <c r="K392" s="181">
        <f t="shared" ref="K392" si="29">+K390-K391</f>
        <v>0</v>
      </c>
      <c r="L392" s="181">
        <f t="shared" ref="L392" si="30">+L390-L391</f>
        <v>0</v>
      </c>
      <c r="M392" s="150">
        <f>SUM(E392:L392)</f>
        <v>0</v>
      </c>
    </row>
    <row r="393" spans="1:14">
      <c r="A393" s="56"/>
      <c r="B393" s="56"/>
      <c r="C393" s="56"/>
      <c r="D393" s="285" t="s">
        <v>783</v>
      </c>
      <c r="E393" s="383"/>
      <c r="F393" s="383"/>
      <c r="G393" s="383"/>
      <c r="H393" s="383"/>
      <c r="I393" s="383"/>
      <c r="J393" s="383"/>
      <c r="K393" s="383"/>
      <c r="L393" s="383"/>
      <c r="M393" s="286"/>
      <c r="N393" s="56"/>
    </row>
    <row r="394" spans="1:14" s="56" customFormat="1">
      <c r="D394" s="23" t="s">
        <v>784</v>
      </c>
      <c r="E394" s="42">
        <v>0</v>
      </c>
      <c r="F394" s="42">
        <v>0</v>
      </c>
      <c r="G394" s="42">
        <v>0</v>
      </c>
      <c r="H394" s="42">
        <v>0</v>
      </c>
      <c r="I394" s="42">
        <v>0</v>
      </c>
      <c r="J394" s="42">
        <v>0</v>
      </c>
      <c r="K394" s="42">
        <v>0</v>
      </c>
      <c r="L394" s="42">
        <v>0</v>
      </c>
      <c r="M394" s="150">
        <f>SUM(E394:L394)</f>
        <v>0</v>
      </c>
    </row>
    <row r="395" spans="1:14" s="56" customFormat="1">
      <c r="D395" s="23" t="s">
        <v>785</v>
      </c>
      <c r="E395" s="42">
        <v>0</v>
      </c>
      <c r="F395" s="42">
        <v>0</v>
      </c>
      <c r="G395" s="42">
        <v>0</v>
      </c>
      <c r="H395" s="42">
        <v>0</v>
      </c>
      <c r="I395" s="42">
        <v>0</v>
      </c>
      <c r="J395" s="42">
        <v>0</v>
      </c>
      <c r="K395" s="42">
        <v>0</v>
      </c>
      <c r="L395" s="42">
        <v>0</v>
      </c>
      <c r="M395" s="150">
        <f>SUM(E395:L395)</f>
        <v>0</v>
      </c>
    </row>
    <row r="396" spans="1:14">
      <c r="A396" s="56"/>
      <c r="B396" s="56"/>
      <c r="C396" s="56"/>
      <c r="D396" s="285" t="s">
        <v>786</v>
      </c>
      <c r="E396" s="383"/>
      <c r="F396" s="383"/>
      <c r="G396" s="383"/>
      <c r="H396" s="383"/>
      <c r="I396" s="383"/>
      <c r="J396" s="383"/>
      <c r="K396" s="383"/>
      <c r="L396" s="383"/>
      <c r="M396" s="286"/>
      <c r="N396" s="56"/>
    </row>
    <row r="397" spans="1:14" s="56" customFormat="1" ht="16" thickBot="1">
      <c r="D397" s="176" t="s">
        <v>787</v>
      </c>
      <c r="E397" s="106">
        <v>0</v>
      </c>
      <c r="F397" s="106">
        <v>0</v>
      </c>
      <c r="G397" s="106">
        <v>0</v>
      </c>
      <c r="H397" s="106">
        <v>0</v>
      </c>
      <c r="I397" s="106">
        <v>0</v>
      </c>
      <c r="J397" s="106">
        <v>0</v>
      </c>
      <c r="K397" s="106">
        <v>0</v>
      </c>
      <c r="L397" s="106">
        <v>0</v>
      </c>
      <c r="M397" s="164">
        <f>SUM(E397:L397)</f>
        <v>0</v>
      </c>
    </row>
    <row r="398" spans="1:14" ht="16" thickBot="1">
      <c r="A398" s="56"/>
      <c r="B398" s="56"/>
      <c r="C398" s="56"/>
      <c r="D398" s="4"/>
      <c r="E398" s="182"/>
      <c r="F398" s="182"/>
      <c r="G398" s="182"/>
      <c r="H398" s="182"/>
      <c r="I398" s="182"/>
      <c r="J398" s="182"/>
      <c r="K398" s="182"/>
      <c r="L398" s="182"/>
      <c r="M398" s="182"/>
      <c r="N398" s="56"/>
    </row>
    <row r="399" spans="1:14">
      <c r="A399" s="56"/>
      <c r="B399" s="56"/>
      <c r="C399" s="56"/>
      <c r="D399" s="296" t="s">
        <v>789</v>
      </c>
      <c r="E399" s="298"/>
      <c r="F399" s="182"/>
      <c r="G399" s="182"/>
      <c r="H399" s="182"/>
      <c r="I399" s="182"/>
      <c r="J399" s="182"/>
      <c r="K399" s="182"/>
      <c r="L399" s="182"/>
      <c r="M399" s="182"/>
      <c r="N399" s="56"/>
    </row>
    <row r="400" spans="1:14">
      <c r="A400" s="56"/>
      <c r="B400" s="56"/>
      <c r="C400" s="56"/>
      <c r="D400" s="153" t="s">
        <v>790</v>
      </c>
      <c r="E400" s="189">
        <v>0</v>
      </c>
      <c r="F400" s="182"/>
      <c r="G400" s="182"/>
      <c r="H400" s="182"/>
      <c r="I400" s="182"/>
      <c r="J400" s="182"/>
      <c r="K400" s="182"/>
      <c r="L400" s="182"/>
      <c r="M400" s="182"/>
      <c r="N400" s="56"/>
    </row>
    <row r="401" spans="1:14">
      <c r="A401" s="56"/>
      <c r="B401" s="56"/>
      <c r="C401" s="56"/>
      <c r="D401" s="23" t="s">
        <v>791</v>
      </c>
      <c r="E401" s="184">
        <f>+E400*0.5</f>
        <v>0</v>
      </c>
      <c r="F401" s="182"/>
      <c r="G401" s="182"/>
      <c r="H401" s="182"/>
      <c r="I401" s="182"/>
      <c r="J401" s="182"/>
      <c r="K401" s="182"/>
      <c r="L401" s="182"/>
      <c r="M401" s="182"/>
      <c r="N401" s="56"/>
    </row>
    <row r="402" spans="1:14">
      <c r="A402" s="56"/>
      <c r="B402" s="56"/>
      <c r="C402" s="56"/>
      <c r="D402" s="23" t="s">
        <v>792</v>
      </c>
      <c r="E402" s="41">
        <v>0</v>
      </c>
      <c r="F402" s="182"/>
      <c r="G402" s="182"/>
      <c r="H402" s="182"/>
      <c r="I402" s="182"/>
      <c r="J402" s="182"/>
      <c r="K402" s="182"/>
      <c r="L402" s="182"/>
      <c r="M402" s="182"/>
      <c r="N402" s="56"/>
    </row>
    <row r="403" spans="1:14">
      <c r="A403" s="56"/>
      <c r="B403" s="56"/>
      <c r="C403" s="56"/>
      <c r="D403" s="176" t="s">
        <v>793</v>
      </c>
      <c r="E403" s="186">
        <f>+E402-E401</f>
        <v>0</v>
      </c>
      <c r="F403" s="182"/>
      <c r="G403" s="182"/>
      <c r="H403" s="182"/>
      <c r="I403" s="182"/>
      <c r="J403" s="182"/>
      <c r="K403" s="182"/>
      <c r="L403" s="182"/>
      <c r="M403" s="182"/>
      <c r="N403" s="56"/>
    </row>
    <row r="404" spans="1:14">
      <c r="A404" s="56"/>
      <c r="B404" s="56"/>
      <c r="C404" s="56"/>
      <c r="D404" s="4"/>
      <c r="E404" s="182"/>
      <c r="F404" s="182"/>
      <c r="G404" s="182"/>
      <c r="H404" s="182"/>
      <c r="I404" s="182"/>
      <c r="J404" s="182"/>
      <c r="K404" s="182"/>
      <c r="L404" s="182"/>
      <c r="M404" s="182"/>
      <c r="N404" s="56"/>
    </row>
    <row r="405" spans="1:14">
      <c r="A405" s="56"/>
      <c r="B405" s="56"/>
      <c r="C405" s="56"/>
      <c r="D405" s="296" t="s">
        <v>794</v>
      </c>
      <c r="E405" s="298"/>
      <c r="F405" s="182"/>
      <c r="G405" s="182"/>
      <c r="H405" s="182"/>
      <c r="I405" s="182"/>
      <c r="J405" s="182"/>
      <c r="K405" s="182"/>
      <c r="L405" s="182"/>
      <c r="M405" s="182"/>
      <c r="N405" s="56"/>
    </row>
    <row r="406" spans="1:14">
      <c r="A406" s="56"/>
      <c r="B406" s="56"/>
      <c r="C406" s="56"/>
      <c r="D406" s="384" t="s">
        <v>795</v>
      </c>
      <c r="E406" s="385"/>
      <c r="F406" s="182"/>
      <c r="G406" s="182"/>
      <c r="H406" s="182"/>
      <c r="I406" s="182"/>
      <c r="J406" s="182"/>
      <c r="K406" s="182"/>
      <c r="L406" s="182"/>
      <c r="M406" s="182"/>
      <c r="N406" s="56"/>
    </row>
    <row r="407" spans="1:14">
      <c r="A407" s="56"/>
      <c r="B407" s="56"/>
      <c r="C407" s="56"/>
      <c r="D407" s="153" t="s">
        <v>798</v>
      </c>
      <c r="E407" s="41" t="s">
        <v>801</v>
      </c>
      <c r="F407" s="187"/>
      <c r="G407" s="187"/>
      <c r="H407" s="187"/>
      <c r="I407" s="182"/>
      <c r="J407" s="182"/>
      <c r="K407" s="182"/>
      <c r="L407" s="182"/>
      <c r="M407" s="182"/>
      <c r="N407" s="56"/>
    </row>
    <row r="408" spans="1:14">
      <c r="A408" s="56"/>
      <c r="B408" s="56"/>
      <c r="C408" s="56"/>
      <c r="D408" s="153" t="s">
        <v>796</v>
      </c>
      <c r="E408" s="41" t="s">
        <v>802</v>
      </c>
      <c r="F408" s="182"/>
      <c r="G408" s="182"/>
      <c r="H408" s="182"/>
      <c r="I408" s="182"/>
      <c r="J408" s="182"/>
      <c r="K408" s="182"/>
      <c r="L408" s="182"/>
      <c r="M408" s="182"/>
      <c r="N408" s="56"/>
    </row>
    <row r="409" spans="1:14">
      <c r="A409" s="56"/>
      <c r="B409" s="56"/>
      <c r="C409" s="56"/>
      <c r="D409" s="153" t="s">
        <v>797</v>
      </c>
      <c r="E409" s="41">
        <v>0</v>
      </c>
      <c r="F409" s="182"/>
      <c r="G409" s="182"/>
      <c r="H409" s="182"/>
      <c r="I409" s="182"/>
      <c r="J409" s="182"/>
      <c r="K409" s="182"/>
      <c r="L409" s="182"/>
      <c r="M409" s="182"/>
      <c r="N409" s="56"/>
    </row>
    <row r="410" spans="1:14">
      <c r="A410" s="56"/>
      <c r="B410" s="56"/>
      <c r="C410" s="56"/>
      <c r="D410" s="153" t="s">
        <v>799</v>
      </c>
      <c r="E410" s="41">
        <v>0</v>
      </c>
      <c r="F410" s="182"/>
      <c r="G410" s="182"/>
      <c r="H410" s="182"/>
      <c r="I410" s="182"/>
      <c r="J410" s="182"/>
      <c r="K410" s="182"/>
      <c r="L410" s="182"/>
      <c r="M410" s="182"/>
      <c r="N410" s="56"/>
    </row>
    <row r="411" spans="1:14" ht="16" thickBot="1">
      <c r="A411" s="56"/>
      <c r="B411" s="56"/>
      <c r="C411" s="56"/>
      <c r="D411" s="190" t="s">
        <v>800</v>
      </c>
      <c r="E411" s="99" t="s">
        <v>803</v>
      </c>
      <c r="F411" s="182"/>
      <c r="G411" s="182"/>
      <c r="H411" s="182"/>
      <c r="I411" s="182"/>
      <c r="J411" s="182"/>
      <c r="K411" s="182"/>
      <c r="L411" s="182"/>
      <c r="M411" s="182"/>
      <c r="N411" s="56"/>
    </row>
    <row r="412" spans="1:14" ht="16" thickBot="1">
      <c r="A412" s="56"/>
      <c r="B412" s="56"/>
      <c r="C412" s="56"/>
      <c r="D412" s="187"/>
      <c r="E412" s="182"/>
      <c r="F412" s="182"/>
      <c r="G412" s="182"/>
      <c r="H412" s="182"/>
      <c r="I412" s="182"/>
      <c r="J412" s="182"/>
      <c r="K412" s="182"/>
      <c r="L412" s="182"/>
      <c r="M412" s="182"/>
      <c r="N412" s="56"/>
    </row>
    <row r="413" spans="1:14" ht="16" thickBot="1">
      <c r="A413" s="56"/>
      <c r="B413" s="56"/>
      <c r="C413" s="56"/>
      <c r="D413" s="311" t="s">
        <v>804</v>
      </c>
      <c r="E413" s="360"/>
      <c r="F413" s="360"/>
      <c r="G413" s="360"/>
      <c r="H413" s="360"/>
      <c r="I413" s="360"/>
      <c r="J413" s="360"/>
      <c r="K413" s="360"/>
      <c r="L413" s="312"/>
      <c r="M413" s="56"/>
      <c r="N413" s="56"/>
    </row>
    <row r="414" spans="1:14">
      <c r="A414" s="56"/>
      <c r="B414" s="56"/>
      <c r="C414" s="56"/>
      <c r="D414" s="174" t="s">
        <v>805</v>
      </c>
      <c r="E414" s="169" t="str">
        <f>+E382</f>
        <v>Nord Stream AG</v>
      </c>
      <c r="F414" s="169">
        <f t="shared" ref="F414:L414" si="31">+F382</f>
        <v>0</v>
      </c>
      <c r="G414" s="169">
        <f t="shared" si="31"/>
        <v>0</v>
      </c>
      <c r="H414" s="169">
        <f t="shared" si="31"/>
        <v>0</v>
      </c>
      <c r="I414" s="169">
        <f t="shared" si="31"/>
        <v>0</v>
      </c>
      <c r="J414" s="169">
        <f t="shared" si="31"/>
        <v>0</v>
      </c>
      <c r="K414" s="169">
        <f t="shared" si="31"/>
        <v>0</v>
      </c>
      <c r="L414" s="170">
        <f t="shared" si="31"/>
        <v>0</v>
      </c>
      <c r="M414" s="45" t="s">
        <v>245</v>
      </c>
      <c r="N414" s="45" t="s">
        <v>403</v>
      </c>
    </row>
    <row r="415" spans="1:14">
      <c r="A415" s="56"/>
      <c r="B415" s="56"/>
      <c r="C415" s="56"/>
      <c r="D415" s="176" t="s">
        <v>806</v>
      </c>
      <c r="E415" s="106" t="s">
        <v>807</v>
      </c>
      <c r="F415" s="106" t="s">
        <v>807</v>
      </c>
      <c r="G415" s="106" t="s">
        <v>807</v>
      </c>
      <c r="H415" s="106" t="s">
        <v>807</v>
      </c>
      <c r="I415" s="106" t="s">
        <v>807</v>
      </c>
      <c r="J415" s="106" t="s">
        <v>807</v>
      </c>
      <c r="K415" s="106" t="s">
        <v>807</v>
      </c>
      <c r="L415" s="99" t="s">
        <v>807</v>
      </c>
      <c r="M415" s="45" t="s">
        <v>404</v>
      </c>
      <c r="N415" s="45" t="s">
        <v>405</v>
      </c>
    </row>
    <row r="416" spans="1:14">
      <c r="A416" s="56"/>
      <c r="B416" s="56"/>
      <c r="C416" s="56"/>
      <c r="D416" s="56"/>
      <c r="E416" s="56"/>
      <c r="F416" s="7"/>
      <c r="G416" s="7"/>
      <c r="H416" s="7"/>
      <c r="I416" s="7"/>
      <c r="J416" s="7"/>
      <c r="K416" s="7"/>
      <c r="L416" s="7"/>
      <c r="M416" s="7"/>
      <c r="N416" s="7"/>
    </row>
    <row r="417" spans="1:15">
      <c r="A417" s="56"/>
      <c r="B417" s="56"/>
      <c r="C417" s="56"/>
      <c r="D417" s="56"/>
      <c r="E417" s="56"/>
      <c r="F417" s="7"/>
      <c r="G417" s="7"/>
      <c r="H417" s="7"/>
      <c r="I417" s="7"/>
      <c r="J417" s="7"/>
      <c r="K417" s="7"/>
      <c r="L417" s="7"/>
      <c r="M417" s="7"/>
      <c r="N417" s="7"/>
    </row>
    <row r="418" spans="1:15" ht="16" thickBot="1">
      <c r="A418" s="56"/>
      <c r="B418" s="56"/>
      <c r="C418" s="56"/>
      <c r="D418" s="296" t="s">
        <v>406</v>
      </c>
      <c r="E418" s="298" t="s">
        <v>1</v>
      </c>
      <c r="F418" s="2"/>
      <c r="G418" s="2"/>
      <c r="H418" s="2"/>
      <c r="I418" s="2"/>
      <c r="J418" s="7"/>
      <c r="K418" s="7"/>
      <c r="L418" s="7"/>
      <c r="M418" s="7"/>
      <c r="N418" s="7"/>
    </row>
    <row r="419" spans="1:15" ht="16" thickBot="1">
      <c r="A419" s="56"/>
      <c r="B419" s="56"/>
      <c r="C419" s="56"/>
      <c r="D419" s="296" t="s">
        <v>538</v>
      </c>
      <c r="E419" s="298"/>
      <c r="F419" s="2"/>
      <c r="G419" s="2"/>
      <c r="H419" s="2"/>
      <c r="I419" s="2"/>
      <c r="J419" s="7"/>
      <c r="K419" s="7"/>
      <c r="L419" s="7"/>
      <c r="M419" s="7"/>
      <c r="N419" s="7"/>
    </row>
    <row r="420" spans="1:15">
      <c r="A420" s="56"/>
      <c r="B420" s="56"/>
      <c r="C420" s="56"/>
      <c r="D420" s="202" t="s">
        <v>822</v>
      </c>
      <c r="E420" s="203">
        <f>IF(15%-E36&gt;0%,15%-E36,0)</f>
        <v>0.13495096494415063</v>
      </c>
      <c r="F420" s="45" t="s">
        <v>407</v>
      </c>
      <c r="G420" s="45" t="s">
        <v>409</v>
      </c>
      <c r="H420" s="56"/>
      <c r="I420" s="56"/>
      <c r="J420" s="7"/>
      <c r="K420" s="7"/>
      <c r="L420" s="7"/>
      <c r="M420" s="7"/>
      <c r="N420" s="7"/>
      <c r="O420" s="32"/>
    </row>
    <row r="421" spans="1:15">
      <c r="A421" s="56"/>
      <c r="B421" s="56"/>
      <c r="C421" s="56"/>
      <c r="D421" s="24" t="s">
        <v>823</v>
      </c>
      <c r="E421" s="204">
        <f>+E437</f>
        <v>341400</v>
      </c>
      <c r="F421" s="45" t="s">
        <v>408</v>
      </c>
      <c r="G421" s="45" t="s">
        <v>411</v>
      </c>
      <c r="H421" s="56"/>
      <c r="I421" s="56"/>
      <c r="J421" s="7"/>
      <c r="K421" s="7"/>
      <c r="L421" s="7"/>
      <c r="M421" s="7"/>
      <c r="N421" s="7"/>
    </row>
    <row r="422" spans="1:15">
      <c r="A422" s="56"/>
      <c r="B422" s="56"/>
      <c r="C422" s="56"/>
      <c r="D422" s="24" t="s">
        <v>824</v>
      </c>
      <c r="E422" s="204">
        <f>+E16-E421</f>
        <v>237692998</v>
      </c>
      <c r="F422" s="45" t="s">
        <v>410</v>
      </c>
      <c r="G422" s="45" t="s">
        <v>413</v>
      </c>
      <c r="H422" s="56"/>
      <c r="I422" s="56"/>
      <c r="J422" s="7"/>
      <c r="K422" s="7"/>
      <c r="L422" s="7"/>
      <c r="M422" s="7"/>
      <c r="N422" s="7"/>
    </row>
    <row r="423" spans="1:15">
      <c r="A423" s="56"/>
      <c r="B423" s="56"/>
      <c r="C423" s="56"/>
      <c r="D423" s="24" t="s">
        <v>825</v>
      </c>
      <c r="E423" s="205">
        <f>+E475</f>
        <v>0</v>
      </c>
      <c r="F423" s="45" t="s">
        <v>412</v>
      </c>
      <c r="G423" s="45" t="s">
        <v>415</v>
      </c>
      <c r="H423" s="56"/>
      <c r="I423" s="56"/>
      <c r="J423" s="7"/>
      <c r="K423" s="7"/>
      <c r="L423" s="7"/>
      <c r="M423" s="7"/>
      <c r="N423" s="7"/>
    </row>
    <row r="424" spans="1:15">
      <c r="A424" s="56"/>
      <c r="B424" s="56"/>
      <c r="C424" s="56"/>
      <c r="D424" s="24" t="s">
        <v>826</v>
      </c>
      <c r="E424" s="41">
        <v>0</v>
      </c>
      <c r="F424" s="45" t="s">
        <v>414</v>
      </c>
      <c r="G424" s="45" t="s">
        <v>417</v>
      </c>
      <c r="H424" s="56"/>
      <c r="I424" s="56"/>
      <c r="J424" s="7"/>
      <c r="K424" s="7"/>
      <c r="L424" s="7"/>
      <c r="M424" s="7"/>
      <c r="N424" s="7"/>
    </row>
    <row r="425" spans="1:15" ht="16" thickBot="1">
      <c r="A425" s="56"/>
      <c r="B425" s="56"/>
      <c r="C425" s="56"/>
      <c r="D425" s="25" t="s">
        <v>827</v>
      </c>
      <c r="E425" s="206">
        <f>+(E420*E422)+E423-E424</f>
        <v>32076899.440568063</v>
      </c>
      <c r="F425" s="45" t="s">
        <v>416</v>
      </c>
      <c r="G425" s="45" t="s">
        <v>419</v>
      </c>
      <c r="H425" s="56"/>
      <c r="I425" s="56"/>
      <c r="J425" s="7"/>
      <c r="K425" s="7"/>
      <c r="L425" s="7"/>
      <c r="M425" s="7"/>
      <c r="N425" s="7"/>
    </row>
    <row r="426" spans="1:15" ht="16" thickBot="1">
      <c r="A426" s="56"/>
      <c r="B426" s="56"/>
      <c r="C426" s="56"/>
      <c r="D426" s="56"/>
      <c r="E426" s="56"/>
      <c r="F426" s="45" t="s">
        <v>418</v>
      </c>
      <c r="G426" s="45"/>
      <c r="H426" s="56"/>
      <c r="I426" s="56"/>
      <c r="J426" s="7"/>
      <c r="K426" s="7"/>
      <c r="L426" s="7"/>
      <c r="M426" s="7"/>
      <c r="N426" s="7"/>
    </row>
    <row r="427" spans="1:15" hidden="1">
      <c r="A427" s="56"/>
      <c r="B427" s="56"/>
      <c r="C427" s="56"/>
      <c r="D427" s="56"/>
      <c r="E427" s="56"/>
      <c r="F427" s="56"/>
      <c r="G427" s="56"/>
      <c r="H427" s="56"/>
      <c r="I427" s="56"/>
      <c r="J427" s="7"/>
      <c r="K427" s="7"/>
      <c r="L427" s="7"/>
      <c r="M427" s="7"/>
      <c r="N427" s="7"/>
    </row>
    <row r="428" spans="1:15" ht="16" thickBot="1">
      <c r="A428" s="56"/>
      <c r="B428" s="56"/>
      <c r="C428" s="56"/>
      <c r="D428" s="296" t="s">
        <v>420</v>
      </c>
      <c r="E428" s="298" t="s">
        <v>1</v>
      </c>
      <c r="F428" s="56"/>
      <c r="G428" s="56"/>
      <c r="H428" s="56"/>
      <c r="I428" s="56"/>
      <c r="J428" s="7"/>
      <c r="K428" s="7"/>
      <c r="L428" s="7"/>
      <c r="M428" s="7"/>
      <c r="N428" s="7"/>
    </row>
    <row r="429" spans="1:15" ht="16" thickBot="1">
      <c r="A429" s="56"/>
      <c r="B429" s="56"/>
      <c r="C429" s="56"/>
      <c r="D429" s="311" t="s">
        <v>833</v>
      </c>
      <c r="E429" s="312"/>
      <c r="F429" s="45"/>
      <c r="G429" s="45" t="s">
        <v>421</v>
      </c>
      <c r="I429" s="56"/>
      <c r="J429" s="7"/>
      <c r="K429" s="7"/>
      <c r="L429" s="7"/>
      <c r="M429" s="7"/>
      <c r="N429" s="7"/>
    </row>
    <row r="430" spans="1:15">
      <c r="A430" s="56"/>
      <c r="B430" s="56"/>
      <c r="C430" s="56"/>
      <c r="D430" s="386" t="s">
        <v>835</v>
      </c>
      <c r="E430" s="387"/>
      <c r="F430" s="45"/>
      <c r="G430" s="45"/>
      <c r="I430" s="56"/>
      <c r="J430" s="7"/>
      <c r="K430" s="7"/>
      <c r="L430" s="7"/>
      <c r="M430" s="7"/>
      <c r="N430" s="7"/>
    </row>
    <row r="431" spans="1:15">
      <c r="A431" s="56"/>
      <c r="B431" s="56"/>
      <c r="C431" s="56"/>
      <c r="D431" s="24" t="s">
        <v>828</v>
      </c>
      <c r="E431" s="204">
        <f>+M442</f>
        <v>300000</v>
      </c>
      <c r="F431" s="45" t="s">
        <v>422</v>
      </c>
      <c r="G431" s="45" t="s">
        <v>423</v>
      </c>
      <c r="I431" s="56"/>
      <c r="J431" s="7"/>
      <c r="K431" s="7"/>
      <c r="L431" s="7"/>
      <c r="M431" s="7"/>
      <c r="N431" s="7"/>
    </row>
    <row r="432" spans="1:15" ht="16" thickBot="1">
      <c r="A432" s="56"/>
      <c r="B432" s="56"/>
      <c r="C432" s="56"/>
      <c r="D432" s="208" t="s">
        <v>829</v>
      </c>
      <c r="E432" s="209">
        <v>9.8000000000000004E-2</v>
      </c>
      <c r="F432" s="45" t="s">
        <v>424</v>
      </c>
      <c r="G432" s="45" t="s">
        <v>425</v>
      </c>
      <c r="I432" s="56"/>
      <c r="J432" s="7"/>
      <c r="K432" s="7"/>
      <c r="L432" s="7"/>
      <c r="M432" s="7"/>
      <c r="N432" s="7"/>
    </row>
    <row r="433" spans="1:30">
      <c r="A433" s="56"/>
      <c r="B433" s="56"/>
      <c r="C433" s="56"/>
      <c r="D433" s="379" t="s">
        <v>836</v>
      </c>
      <c r="E433" s="380"/>
      <c r="F433" s="45"/>
      <c r="G433" s="45"/>
      <c r="I433" s="56"/>
      <c r="J433" s="7"/>
      <c r="K433" s="7"/>
      <c r="L433" s="7"/>
      <c r="M433" s="7"/>
      <c r="N433" s="7"/>
    </row>
    <row r="434" spans="1:30">
      <c r="A434" s="56"/>
      <c r="B434" s="56"/>
      <c r="C434" s="56"/>
      <c r="D434" s="24" t="s">
        <v>830</v>
      </c>
      <c r="E434" s="204">
        <f>+M443</f>
        <v>4000000</v>
      </c>
      <c r="F434" s="45" t="s">
        <v>426</v>
      </c>
      <c r="G434" s="45" t="s">
        <v>427</v>
      </c>
      <c r="I434" s="92"/>
      <c r="J434" s="7"/>
      <c r="K434" s="7"/>
      <c r="L434" s="7"/>
      <c r="M434" s="7"/>
      <c r="N434" s="7"/>
    </row>
    <row r="435" spans="1:30" ht="16" thickBot="1">
      <c r="A435" s="56"/>
      <c r="B435" s="56"/>
      <c r="C435" s="56"/>
      <c r="D435" s="208" t="s">
        <v>831</v>
      </c>
      <c r="E435" s="209">
        <v>7.8E-2</v>
      </c>
      <c r="F435" s="45" t="s">
        <v>428</v>
      </c>
      <c r="G435" s="45" t="s">
        <v>429</v>
      </c>
      <c r="I435" s="56"/>
      <c r="J435" s="7"/>
      <c r="K435" s="7"/>
      <c r="L435" s="7"/>
      <c r="M435" s="7"/>
      <c r="N435" s="7"/>
    </row>
    <row r="436" spans="1:30">
      <c r="A436" s="56"/>
      <c r="B436" s="56"/>
      <c r="C436" s="56"/>
      <c r="D436" s="379" t="s">
        <v>114</v>
      </c>
      <c r="E436" s="380"/>
      <c r="F436" s="45"/>
      <c r="G436" s="45"/>
      <c r="I436" s="56"/>
      <c r="J436" s="7"/>
      <c r="K436" s="7"/>
      <c r="L436" s="7"/>
      <c r="M436" s="7"/>
      <c r="N436" s="7"/>
    </row>
    <row r="437" spans="1:30" ht="16" thickBot="1">
      <c r="A437" s="56"/>
      <c r="B437" s="56"/>
      <c r="C437" s="56"/>
      <c r="D437" s="25" t="s">
        <v>832</v>
      </c>
      <c r="E437" s="206">
        <f>(E431*E432)+(E434*E435)</f>
        <v>341400</v>
      </c>
      <c r="F437" s="45" t="s">
        <v>430</v>
      </c>
      <c r="G437" s="45" t="s">
        <v>431</v>
      </c>
      <c r="I437" s="56"/>
      <c r="J437" s="7"/>
      <c r="K437" s="7"/>
      <c r="L437" s="7"/>
      <c r="M437" s="7"/>
      <c r="N437" s="7"/>
    </row>
    <row r="438" spans="1:30">
      <c r="A438" s="56"/>
      <c r="B438" s="56"/>
      <c r="C438" s="56"/>
      <c r="D438" s="56"/>
      <c r="E438" s="56"/>
      <c r="F438" s="56"/>
      <c r="G438" s="56"/>
      <c r="H438" s="56"/>
      <c r="I438" s="56"/>
      <c r="J438" s="7"/>
      <c r="K438" s="7"/>
      <c r="L438" s="7"/>
      <c r="M438" s="7"/>
      <c r="N438" s="7"/>
    </row>
    <row r="439" spans="1:30" ht="16" thickBot="1">
      <c r="A439" s="56"/>
      <c r="B439" s="56"/>
      <c r="C439" s="56"/>
      <c r="D439" s="56"/>
      <c r="E439" s="56"/>
      <c r="F439" s="56"/>
      <c r="G439" s="56"/>
      <c r="H439" s="56"/>
      <c r="I439" s="56"/>
      <c r="J439" s="7"/>
      <c r="K439" s="7"/>
      <c r="L439" s="7"/>
      <c r="M439" s="7"/>
      <c r="N439" s="7"/>
    </row>
    <row r="440" spans="1:30" ht="16" thickBot="1">
      <c r="A440" s="56"/>
      <c r="B440" s="56"/>
      <c r="C440" s="56"/>
      <c r="D440" s="296" t="s">
        <v>834</v>
      </c>
      <c r="E440" s="297"/>
      <c r="F440" s="297"/>
      <c r="G440" s="297"/>
      <c r="H440" s="297"/>
      <c r="I440" s="297"/>
      <c r="J440" s="297"/>
      <c r="K440" s="297"/>
      <c r="L440" s="297"/>
      <c r="M440" s="298"/>
      <c r="N440" s="45" t="s">
        <v>432</v>
      </c>
      <c r="O440" s="45"/>
    </row>
    <row r="441" spans="1:30" ht="16" thickBot="1">
      <c r="A441" s="56"/>
      <c r="B441" s="56"/>
      <c r="C441" s="56"/>
      <c r="D441" s="210"/>
      <c r="E441" s="211" t="str">
        <f>+E414</f>
        <v>Nord Stream AG</v>
      </c>
      <c r="F441" s="211">
        <f t="shared" ref="F441:L441" si="32">+F414</f>
        <v>0</v>
      </c>
      <c r="G441" s="211">
        <f t="shared" si="32"/>
        <v>0</v>
      </c>
      <c r="H441" s="211">
        <f t="shared" si="32"/>
        <v>0</v>
      </c>
      <c r="I441" s="211">
        <f t="shared" si="32"/>
        <v>0</v>
      </c>
      <c r="J441" s="211">
        <f t="shared" si="32"/>
        <v>0</v>
      </c>
      <c r="K441" s="211">
        <f t="shared" si="32"/>
        <v>0</v>
      </c>
      <c r="L441" s="211">
        <f t="shared" si="32"/>
        <v>0</v>
      </c>
      <c r="M441" s="212" t="s">
        <v>843</v>
      </c>
      <c r="N441" s="45" t="s">
        <v>245</v>
      </c>
      <c r="O441" s="45"/>
    </row>
    <row r="442" spans="1:30" ht="58.5" customHeight="1">
      <c r="A442" s="56"/>
      <c r="B442" s="56"/>
      <c r="C442" s="56"/>
      <c r="D442" s="207" t="s">
        <v>838</v>
      </c>
      <c r="E442" s="194">
        <v>300000</v>
      </c>
      <c r="F442" s="194">
        <v>0</v>
      </c>
      <c r="G442" s="194">
        <v>0</v>
      </c>
      <c r="H442" s="194">
        <v>0</v>
      </c>
      <c r="I442" s="194">
        <v>0</v>
      </c>
      <c r="J442" s="194">
        <v>0</v>
      </c>
      <c r="K442" s="194">
        <v>0</v>
      </c>
      <c r="L442" s="194">
        <v>0</v>
      </c>
      <c r="M442" s="213">
        <f>SUM(E442:L442)</f>
        <v>300000</v>
      </c>
      <c r="N442" s="45" t="s">
        <v>422</v>
      </c>
      <c r="O442" s="45" t="s">
        <v>433</v>
      </c>
      <c r="P442" s="325" t="s">
        <v>434</v>
      </c>
      <c r="Q442" s="326"/>
      <c r="R442" s="326"/>
      <c r="S442" s="326"/>
      <c r="T442" s="326"/>
      <c r="U442" s="326"/>
      <c r="V442" s="326"/>
      <c r="W442" s="326"/>
      <c r="X442" s="326"/>
      <c r="Y442" s="326"/>
      <c r="Z442" s="326"/>
      <c r="AA442" s="326"/>
      <c r="AB442" s="326"/>
      <c r="AC442" s="326"/>
      <c r="AD442" s="327"/>
    </row>
    <row r="443" spans="1:30" ht="69.5" customHeight="1">
      <c r="A443" s="56"/>
      <c r="B443" s="56"/>
      <c r="C443" s="56"/>
      <c r="D443" s="141" t="s">
        <v>839</v>
      </c>
      <c r="E443" s="42">
        <v>4000000</v>
      </c>
      <c r="F443" s="42">
        <v>0</v>
      </c>
      <c r="G443" s="42">
        <v>0</v>
      </c>
      <c r="H443" s="42">
        <v>0</v>
      </c>
      <c r="I443" s="42">
        <v>0</v>
      </c>
      <c r="J443" s="42">
        <v>0</v>
      </c>
      <c r="K443" s="42">
        <v>0</v>
      </c>
      <c r="L443" s="42">
        <v>0</v>
      </c>
      <c r="M443" s="204">
        <f>SUM(E443:L443)</f>
        <v>4000000</v>
      </c>
      <c r="N443" s="45" t="s">
        <v>426</v>
      </c>
      <c r="O443" s="45" t="s">
        <v>435</v>
      </c>
      <c r="P443" s="325" t="s">
        <v>436</v>
      </c>
      <c r="Q443" s="326"/>
      <c r="R443" s="326"/>
      <c r="S443" s="326"/>
      <c r="T443" s="326"/>
      <c r="U443" s="326"/>
      <c r="V443" s="326"/>
      <c r="W443" s="326"/>
      <c r="X443" s="326"/>
      <c r="Y443" s="326"/>
      <c r="Z443" s="326"/>
      <c r="AA443" s="326"/>
      <c r="AB443" s="326"/>
      <c r="AC443" s="326"/>
      <c r="AD443" s="327"/>
    </row>
    <row r="444" spans="1:30">
      <c r="A444" s="56"/>
      <c r="B444" s="56"/>
      <c r="C444" s="56"/>
      <c r="D444" s="141" t="s">
        <v>439</v>
      </c>
      <c r="E444" s="42" t="s">
        <v>840</v>
      </c>
      <c r="F444" s="42" t="s">
        <v>840</v>
      </c>
      <c r="G444" s="42" t="s">
        <v>840</v>
      </c>
      <c r="H444" s="42" t="s">
        <v>840</v>
      </c>
      <c r="I444" s="42" t="s">
        <v>840</v>
      </c>
      <c r="J444" s="42" t="s">
        <v>840</v>
      </c>
      <c r="K444" s="42" t="s">
        <v>840</v>
      </c>
      <c r="L444" s="42" t="s">
        <v>840</v>
      </c>
      <c r="M444" s="204"/>
      <c r="N444" s="45" t="s">
        <v>437</v>
      </c>
      <c r="O444" s="45" t="s">
        <v>438</v>
      </c>
    </row>
    <row r="445" spans="1:30">
      <c r="A445" s="56"/>
      <c r="B445" s="56"/>
      <c r="C445" s="56"/>
      <c r="D445" s="141" t="s">
        <v>841</v>
      </c>
      <c r="E445" s="42">
        <v>0</v>
      </c>
      <c r="F445" s="42">
        <v>0</v>
      </c>
      <c r="G445" s="42">
        <v>0</v>
      </c>
      <c r="H445" s="42">
        <v>0</v>
      </c>
      <c r="I445" s="42">
        <v>0</v>
      </c>
      <c r="J445" s="42">
        <v>0</v>
      </c>
      <c r="K445" s="42">
        <v>0</v>
      </c>
      <c r="L445" s="42">
        <v>0</v>
      </c>
      <c r="M445" s="204">
        <f>SUM(E445:L445)</f>
        <v>0</v>
      </c>
      <c r="N445" s="45" t="s">
        <v>422</v>
      </c>
      <c r="O445" s="45" t="s">
        <v>440</v>
      </c>
    </row>
    <row r="446" spans="1:30" ht="16" thickBot="1">
      <c r="A446" s="56"/>
      <c r="B446" s="56"/>
      <c r="C446" s="56"/>
      <c r="D446" s="201" t="s">
        <v>837</v>
      </c>
      <c r="E446" s="106">
        <v>0</v>
      </c>
      <c r="F446" s="106">
        <v>0</v>
      </c>
      <c r="G446" s="106">
        <v>0</v>
      </c>
      <c r="H446" s="106">
        <v>0</v>
      </c>
      <c r="I446" s="106">
        <v>0</v>
      </c>
      <c r="J446" s="106">
        <v>0</v>
      </c>
      <c r="K446" s="106">
        <v>0</v>
      </c>
      <c r="L446" s="106">
        <v>0</v>
      </c>
      <c r="M446" s="206">
        <f>SUM(E446:L446)</f>
        <v>0</v>
      </c>
      <c r="N446" s="45" t="s">
        <v>426</v>
      </c>
      <c r="O446" s="45" t="s">
        <v>441</v>
      </c>
    </row>
    <row r="447" spans="1:30">
      <c r="A447" s="56"/>
      <c r="B447" s="56"/>
      <c r="C447" s="56"/>
      <c r="D447" s="56"/>
      <c r="E447" s="56"/>
      <c r="F447" s="56"/>
      <c r="G447" s="56"/>
      <c r="H447" s="56"/>
      <c r="I447" s="56"/>
      <c r="J447" s="7"/>
      <c r="K447" s="7"/>
      <c r="L447" s="7"/>
      <c r="M447" s="7"/>
      <c r="N447" s="7"/>
    </row>
    <row r="448" spans="1:30" ht="16" thickBot="1">
      <c r="A448" s="56"/>
      <c r="B448" s="56"/>
      <c r="C448" s="56"/>
      <c r="D448" s="56"/>
      <c r="E448" s="56"/>
      <c r="F448" s="56"/>
      <c r="G448" s="56"/>
      <c r="H448" s="56"/>
      <c r="I448" s="56"/>
      <c r="J448" s="7"/>
      <c r="K448" s="7"/>
      <c r="L448" s="7"/>
      <c r="M448" s="7"/>
      <c r="N448" s="7"/>
    </row>
    <row r="449" spans="1:15" ht="16" thickBot="1">
      <c r="A449" s="56"/>
      <c r="B449" s="56"/>
      <c r="C449" s="56"/>
      <c r="D449" s="296" t="s">
        <v>842</v>
      </c>
      <c r="E449" s="297"/>
      <c r="F449" s="297"/>
      <c r="G449" s="297"/>
      <c r="H449" s="297"/>
      <c r="I449" s="297"/>
      <c r="J449" s="297"/>
      <c r="K449" s="297"/>
      <c r="L449" s="297"/>
      <c r="M449" s="298"/>
      <c r="N449" s="45" t="s">
        <v>442</v>
      </c>
      <c r="O449" s="45"/>
    </row>
    <row r="450" spans="1:15" ht="16" thickBot="1">
      <c r="A450" s="56"/>
      <c r="B450" s="56"/>
      <c r="C450" s="56"/>
      <c r="D450" s="214"/>
      <c r="E450" s="211" t="str">
        <f>+E441</f>
        <v>Nord Stream AG</v>
      </c>
      <c r="F450" s="211">
        <f t="shared" ref="F450:L450" si="33">+F441</f>
        <v>0</v>
      </c>
      <c r="G450" s="211">
        <f t="shared" si="33"/>
        <v>0</v>
      </c>
      <c r="H450" s="211">
        <f t="shared" si="33"/>
        <v>0</v>
      </c>
      <c r="I450" s="211">
        <f t="shared" si="33"/>
        <v>0</v>
      </c>
      <c r="J450" s="211">
        <f t="shared" si="33"/>
        <v>0</v>
      </c>
      <c r="K450" s="211">
        <f t="shared" si="33"/>
        <v>0</v>
      </c>
      <c r="L450" s="211">
        <f t="shared" si="33"/>
        <v>0</v>
      </c>
      <c r="M450" s="212" t="s">
        <v>843</v>
      </c>
      <c r="N450" s="45"/>
      <c r="O450" s="45"/>
    </row>
    <row r="451" spans="1:15">
      <c r="A451" s="56"/>
      <c r="B451" s="56"/>
      <c r="C451" s="56"/>
      <c r="D451" s="168" t="s">
        <v>838</v>
      </c>
      <c r="E451" s="219">
        <f>+E442</f>
        <v>300000</v>
      </c>
      <c r="F451" s="219">
        <f t="shared" ref="F451:L451" si="34">+F442</f>
        <v>0</v>
      </c>
      <c r="G451" s="219">
        <f t="shared" si="34"/>
        <v>0</v>
      </c>
      <c r="H451" s="219">
        <f t="shared" si="34"/>
        <v>0</v>
      </c>
      <c r="I451" s="219">
        <f t="shared" si="34"/>
        <v>0</v>
      </c>
      <c r="J451" s="219">
        <f t="shared" si="34"/>
        <v>0</v>
      </c>
      <c r="K451" s="219">
        <f t="shared" si="34"/>
        <v>0</v>
      </c>
      <c r="L451" s="219">
        <f t="shared" si="34"/>
        <v>0</v>
      </c>
      <c r="M451" s="220">
        <f>+M442</f>
        <v>300000</v>
      </c>
      <c r="N451" s="45" t="s">
        <v>422</v>
      </c>
      <c r="O451" s="45" t="s">
        <v>443</v>
      </c>
    </row>
    <row r="452" spans="1:15" ht="15" customHeight="1">
      <c r="A452" s="56"/>
      <c r="B452" s="56"/>
      <c r="C452" s="56"/>
      <c r="D452" s="161" t="s">
        <v>839</v>
      </c>
      <c r="E452" s="215">
        <f>+E443</f>
        <v>4000000</v>
      </c>
      <c r="F452" s="215">
        <f t="shared" ref="F452:L452" si="35">+F443</f>
        <v>0</v>
      </c>
      <c r="G452" s="215">
        <f t="shared" si="35"/>
        <v>0</v>
      </c>
      <c r="H452" s="215">
        <f t="shared" si="35"/>
        <v>0</v>
      </c>
      <c r="I452" s="215">
        <f t="shared" si="35"/>
        <v>0</v>
      </c>
      <c r="J452" s="215">
        <f t="shared" si="35"/>
        <v>0</v>
      </c>
      <c r="K452" s="215">
        <f t="shared" si="35"/>
        <v>0</v>
      </c>
      <c r="L452" s="215">
        <f t="shared" si="35"/>
        <v>0</v>
      </c>
      <c r="M452" s="221">
        <f>+M443</f>
        <v>4000000</v>
      </c>
      <c r="N452" s="45" t="s">
        <v>426</v>
      </c>
      <c r="O452" s="45" t="s">
        <v>444</v>
      </c>
    </row>
    <row r="453" spans="1:15">
      <c r="A453" s="56"/>
      <c r="B453" s="56"/>
      <c r="C453" s="56"/>
      <c r="D453" s="161" t="s">
        <v>446</v>
      </c>
      <c r="E453" s="42" t="s">
        <v>844</v>
      </c>
      <c r="F453" s="42" t="s">
        <v>844</v>
      </c>
      <c r="G453" s="42" t="s">
        <v>844</v>
      </c>
      <c r="H453" s="42" t="s">
        <v>844</v>
      </c>
      <c r="I453" s="42" t="s">
        <v>844</v>
      </c>
      <c r="J453" s="42" t="s">
        <v>844</v>
      </c>
      <c r="K453" s="42" t="s">
        <v>844</v>
      </c>
      <c r="L453" s="42" t="s">
        <v>844</v>
      </c>
      <c r="M453" s="222"/>
      <c r="N453" s="45" t="s">
        <v>437</v>
      </c>
      <c r="O453" s="45" t="s">
        <v>445</v>
      </c>
    </row>
    <row r="454" spans="1:15">
      <c r="A454" s="56"/>
      <c r="B454" s="56"/>
      <c r="C454" s="56"/>
      <c r="D454" s="161" t="s">
        <v>448</v>
      </c>
      <c r="E454" s="42">
        <v>0</v>
      </c>
      <c r="F454" s="42">
        <v>0</v>
      </c>
      <c r="G454" s="42">
        <v>0</v>
      </c>
      <c r="H454" s="42">
        <v>0</v>
      </c>
      <c r="I454" s="42">
        <v>0</v>
      </c>
      <c r="J454" s="42">
        <v>0</v>
      </c>
      <c r="K454" s="42">
        <v>0</v>
      </c>
      <c r="L454" s="42">
        <v>0</v>
      </c>
      <c r="M454" s="204">
        <f>SUM(E454:L454)</f>
        <v>0</v>
      </c>
      <c r="N454" s="45" t="s">
        <v>422</v>
      </c>
      <c r="O454" s="45" t="s">
        <v>447</v>
      </c>
    </row>
    <row r="455" spans="1:15" ht="16" thickBot="1">
      <c r="A455" s="56"/>
      <c r="B455" s="56"/>
      <c r="C455" s="56"/>
      <c r="D455" s="162" t="s">
        <v>450</v>
      </c>
      <c r="E455" s="106">
        <v>0</v>
      </c>
      <c r="F455" s="106">
        <v>0</v>
      </c>
      <c r="G455" s="106">
        <v>0</v>
      </c>
      <c r="H455" s="106">
        <v>0</v>
      </c>
      <c r="I455" s="106">
        <v>0</v>
      </c>
      <c r="J455" s="106">
        <v>0</v>
      </c>
      <c r="K455" s="106">
        <v>0</v>
      </c>
      <c r="L455" s="106">
        <v>0</v>
      </c>
      <c r="M455" s="206">
        <f>SUM(E455:L455)</f>
        <v>0</v>
      </c>
      <c r="N455" s="45" t="s">
        <v>426</v>
      </c>
      <c r="O455" s="45" t="s">
        <v>449</v>
      </c>
    </row>
    <row r="456" spans="1:15" ht="15" customHeight="1" thickBot="1"/>
    <row r="457" spans="1:15" ht="15" hidden="1" customHeight="1" thickBot="1"/>
    <row r="458" spans="1:15" ht="16" thickBot="1">
      <c r="D458" s="296" t="s">
        <v>451</v>
      </c>
      <c r="E458" s="298" t="s">
        <v>102</v>
      </c>
      <c r="F458" s="10"/>
      <c r="G458" s="10"/>
      <c r="H458" s="10"/>
      <c r="I458" s="10"/>
      <c r="J458" s="10"/>
      <c r="K458" s="10"/>
      <c r="L458" s="10"/>
      <c r="M458" s="10"/>
      <c r="N458" s="10"/>
    </row>
    <row r="459" spans="1:15" ht="16" thickBot="1">
      <c r="D459" s="296" t="s">
        <v>845</v>
      </c>
      <c r="E459" s="298"/>
      <c r="F459" s="5"/>
      <c r="G459" s="5"/>
      <c r="H459" s="5"/>
      <c r="I459" s="5"/>
      <c r="J459" s="5"/>
      <c r="K459" s="5"/>
      <c r="L459" s="5"/>
      <c r="M459" s="5"/>
      <c r="N459" s="5"/>
    </row>
    <row r="460" spans="1:15">
      <c r="D460" s="202" t="s">
        <v>846</v>
      </c>
      <c r="E460" s="195"/>
      <c r="F460" s="45" t="s">
        <v>452</v>
      </c>
      <c r="G460" s="5"/>
      <c r="H460" s="5"/>
      <c r="I460" s="5"/>
      <c r="J460" s="5"/>
      <c r="K460" s="5"/>
      <c r="L460" s="5"/>
      <c r="M460" s="5"/>
      <c r="N460" s="5"/>
    </row>
    <row r="461" spans="1:15" ht="16" thickBot="1">
      <c r="D461" s="208" t="s">
        <v>847</v>
      </c>
      <c r="E461" s="112"/>
      <c r="F461" s="45" t="s">
        <v>374</v>
      </c>
      <c r="G461" s="5"/>
      <c r="H461" s="5"/>
      <c r="I461" s="56"/>
      <c r="J461" s="56"/>
      <c r="K461" s="56"/>
      <c r="L461" s="56"/>
      <c r="M461" s="5"/>
      <c r="N461" s="5"/>
    </row>
    <row r="462" spans="1:15">
      <c r="D462" s="216" t="s">
        <v>848</v>
      </c>
      <c r="E462" s="217" t="s">
        <v>849</v>
      </c>
      <c r="F462" s="218" t="s">
        <v>850</v>
      </c>
      <c r="G462" s="5"/>
      <c r="H462" s="5"/>
      <c r="I462" s="56"/>
      <c r="J462" s="56"/>
      <c r="K462" s="56"/>
      <c r="L462" s="56"/>
      <c r="M462" s="5"/>
      <c r="N462" s="5"/>
    </row>
    <row r="463" spans="1:15">
      <c r="D463" s="24" t="s">
        <v>851</v>
      </c>
      <c r="E463" s="42"/>
      <c r="F463" s="41"/>
      <c r="G463" s="45" t="s">
        <v>10</v>
      </c>
      <c r="H463" s="5"/>
      <c r="I463" s="56"/>
      <c r="J463" s="56"/>
      <c r="K463" s="56"/>
      <c r="L463" s="56"/>
      <c r="M463" s="5"/>
      <c r="N463" s="5"/>
    </row>
    <row r="464" spans="1:15">
      <c r="D464" s="24" t="s">
        <v>852</v>
      </c>
      <c r="E464" s="42"/>
      <c r="F464" s="41"/>
      <c r="G464" s="45" t="s">
        <v>14</v>
      </c>
      <c r="H464" s="5"/>
      <c r="I464" s="56"/>
      <c r="J464" s="56"/>
      <c r="K464" s="56"/>
      <c r="L464" s="56"/>
      <c r="M464" s="5"/>
      <c r="N464" s="5"/>
    </row>
    <row r="465" spans="4:14">
      <c r="D465" s="24" t="s">
        <v>853</v>
      </c>
      <c r="E465" s="42"/>
      <c r="F465" s="41"/>
      <c r="G465" s="45" t="s">
        <v>16</v>
      </c>
      <c r="H465" s="5"/>
      <c r="I465" s="5"/>
      <c r="J465" s="5"/>
      <c r="K465" s="5"/>
      <c r="L465" s="5"/>
      <c r="M465" s="5"/>
      <c r="N465" s="5"/>
    </row>
    <row r="466" spans="4:14">
      <c r="D466" s="24" t="s">
        <v>854</v>
      </c>
      <c r="E466" s="42"/>
      <c r="F466" s="41"/>
      <c r="G466" s="45" t="s">
        <v>453</v>
      </c>
      <c r="H466" s="5"/>
      <c r="I466" s="5"/>
      <c r="J466" s="5"/>
      <c r="K466" s="5"/>
      <c r="L466" s="5"/>
      <c r="M466" s="5"/>
      <c r="N466" s="5"/>
    </row>
    <row r="467" spans="4:14">
      <c r="D467" s="24" t="s">
        <v>855</v>
      </c>
      <c r="E467" s="42"/>
      <c r="F467" s="41"/>
      <c r="G467" s="45" t="s">
        <v>408</v>
      </c>
      <c r="H467" s="5"/>
      <c r="I467" s="5"/>
      <c r="J467" s="5"/>
      <c r="K467" s="5"/>
      <c r="L467" s="5"/>
      <c r="M467" s="5"/>
      <c r="N467" s="5"/>
    </row>
    <row r="468" spans="4:14">
      <c r="D468" s="24" t="s">
        <v>856</v>
      </c>
      <c r="E468" s="42"/>
      <c r="F468" s="41"/>
      <c r="G468" s="45" t="s">
        <v>418</v>
      </c>
      <c r="H468" s="5"/>
      <c r="I468" s="5"/>
      <c r="J468" s="5"/>
      <c r="K468" s="5"/>
      <c r="L468" s="5"/>
      <c r="M468" s="5"/>
      <c r="N468" s="5"/>
    </row>
    <row r="469" spans="4:14" ht="16" thickBot="1">
      <c r="D469" s="25" t="s">
        <v>857</v>
      </c>
      <c r="E469" s="381"/>
      <c r="F469" s="382"/>
      <c r="G469" s="45" t="s">
        <v>414</v>
      </c>
      <c r="H469" s="5"/>
      <c r="I469" s="5"/>
      <c r="J469" s="5"/>
      <c r="K469" s="5"/>
      <c r="L469" s="5"/>
      <c r="M469" s="5"/>
      <c r="N469" s="5"/>
    </row>
    <row r="470" spans="4:14" ht="16" thickBot="1">
      <c r="E470" s="5"/>
      <c r="F470" s="5"/>
      <c r="G470" s="5"/>
      <c r="H470" s="5"/>
      <c r="I470" s="5"/>
      <c r="J470" s="5"/>
      <c r="K470" s="5"/>
      <c r="L470" s="5"/>
      <c r="M470" s="5"/>
      <c r="N470" s="5"/>
    </row>
    <row r="471" spans="4:14" ht="16" thickBot="1">
      <c r="D471" s="296" t="s">
        <v>858</v>
      </c>
      <c r="E471" s="298" t="s">
        <v>455</v>
      </c>
      <c r="F471" s="45" t="s">
        <v>454</v>
      </c>
      <c r="G471" s="5"/>
      <c r="H471" s="5"/>
      <c r="I471" s="5"/>
      <c r="J471" s="5"/>
      <c r="K471" s="5"/>
      <c r="L471" s="5"/>
      <c r="M471" s="5"/>
      <c r="N471" s="5"/>
    </row>
    <row r="472" spans="4:14">
      <c r="D472" s="202" t="s">
        <v>859</v>
      </c>
      <c r="E472" s="195"/>
      <c r="F472" s="45" t="s">
        <v>101</v>
      </c>
      <c r="G472" s="5"/>
      <c r="H472" s="5"/>
      <c r="I472" s="5"/>
      <c r="J472" s="5"/>
      <c r="K472" s="5"/>
      <c r="L472" s="5"/>
      <c r="M472" s="5"/>
      <c r="N472" s="5"/>
    </row>
    <row r="473" spans="4:14">
      <c r="D473" s="24" t="s">
        <v>860</v>
      </c>
      <c r="E473" s="41"/>
      <c r="F473" s="45" t="s">
        <v>456</v>
      </c>
      <c r="G473" s="56"/>
      <c r="H473" s="5"/>
      <c r="I473" s="5"/>
      <c r="J473" s="5"/>
      <c r="K473" s="5"/>
      <c r="L473" s="5"/>
      <c r="M473" s="5"/>
      <c r="N473" s="5"/>
    </row>
    <row r="474" spans="4:14">
      <c r="D474" s="24" t="s">
        <v>861</v>
      </c>
      <c r="E474" s="41"/>
      <c r="F474" s="45" t="s">
        <v>457</v>
      </c>
      <c r="G474" s="5"/>
      <c r="H474" s="5"/>
      <c r="I474" s="5"/>
      <c r="J474" s="5"/>
      <c r="K474" s="5"/>
      <c r="L474" s="5"/>
      <c r="M474" s="5"/>
      <c r="N474" s="5"/>
    </row>
    <row r="475" spans="4:14" ht="16" thickBot="1">
      <c r="D475" s="25" t="s">
        <v>862</v>
      </c>
      <c r="E475" s="99"/>
      <c r="F475" s="45" t="s">
        <v>414</v>
      </c>
      <c r="G475" s="56"/>
      <c r="H475" s="56"/>
      <c r="I475" s="56"/>
      <c r="J475" s="5"/>
      <c r="K475" s="5"/>
      <c r="L475" s="5"/>
      <c r="M475" s="5"/>
      <c r="N475" s="5"/>
    </row>
    <row r="476" spans="4:14" ht="16" thickBot="1">
      <c r="D476" s="8"/>
      <c r="E476" s="5"/>
      <c r="F476" s="11"/>
      <c r="G476" s="9"/>
      <c r="H476" s="8"/>
      <c r="I476" s="8"/>
      <c r="J476" s="9"/>
      <c r="K476" s="9"/>
      <c r="L476" s="9"/>
      <c r="N476" s="8"/>
    </row>
    <row r="477" spans="4:14" ht="16" thickBot="1">
      <c r="D477" s="311" t="s">
        <v>863</v>
      </c>
      <c r="E477" s="312"/>
    </row>
    <row r="478" spans="4:14">
      <c r="D478" s="223" t="s">
        <v>867</v>
      </c>
      <c r="E478" s="195"/>
    </row>
    <row r="479" spans="4:14">
      <c r="D479" s="93" t="s">
        <v>868</v>
      </c>
      <c r="E479" s="41"/>
    </row>
    <row r="480" spans="4:14">
      <c r="D480" s="93" t="s">
        <v>869</v>
      </c>
      <c r="E480" s="41"/>
    </row>
    <row r="481" spans="4:5">
      <c r="D481" s="93" t="s">
        <v>870</v>
      </c>
      <c r="E481" s="41"/>
    </row>
    <row r="482" spans="4:5">
      <c r="D482" s="93" t="s">
        <v>871</v>
      </c>
      <c r="E482" s="41"/>
    </row>
    <row r="483" spans="4:5">
      <c r="D483" s="93" t="s">
        <v>872</v>
      </c>
      <c r="E483" s="41" t="s">
        <v>650</v>
      </c>
    </row>
    <row r="484" spans="4:5">
      <c r="D484" s="93" t="s">
        <v>864</v>
      </c>
      <c r="E484" s="41"/>
    </row>
    <row r="485" spans="4:5">
      <c r="D485" s="93" t="s">
        <v>865</v>
      </c>
      <c r="E485" s="41"/>
    </row>
    <row r="486" spans="4:5">
      <c r="D486" s="93" t="s">
        <v>866</v>
      </c>
      <c r="E486" s="41"/>
    </row>
    <row r="487" spans="4:5">
      <c r="D487" s="93" t="s">
        <v>873</v>
      </c>
      <c r="E487" s="41" t="s">
        <v>650</v>
      </c>
    </row>
    <row r="488" spans="4:5" ht="16" thickBot="1">
      <c r="D488" s="158" t="s">
        <v>874</v>
      </c>
      <c r="E488" s="99" t="s">
        <v>650</v>
      </c>
    </row>
    <row r="489" spans="4:5" ht="16" thickBot="1"/>
    <row r="490" spans="4:5" ht="16" thickBot="1">
      <c r="D490" s="311" t="s">
        <v>875</v>
      </c>
      <c r="E490" s="312"/>
    </row>
    <row r="491" spans="4:5" ht="16" thickBot="1">
      <c r="D491" s="311" t="s">
        <v>876</v>
      </c>
      <c r="E491" s="312"/>
    </row>
    <row r="492" spans="4:5">
      <c r="D492" s="388" t="s">
        <v>877</v>
      </c>
      <c r="E492" s="389"/>
    </row>
    <row r="493" spans="4:5">
      <c r="D493" s="93" t="s">
        <v>880</v>
      </c>
      <c r="E493" s="41"/>
    </row>
    <row r="494" spans="4:5">
      <c r="D494" s="93" t="s">
        <v>881</v>
      </c>
      <c r="E494" s="41"/>
    </row>
    <row r="495" spans="4:5" ht="16" thickBot="1">
      <c r="D495" s="158" t="s">
        <v>882</v>
      </c>
      <c r="E495" s="41"/>
    </row>
    <row r="496" spans="4:5">
      <c r="D496" s="388" t="s">
        <v>878</v>
      </c>
      <c r="E496" s="389"/>
    </row>
    <row r="497" spans="4:11">
      <c r="D497" s="93" t="s">
        <v>883</v>
      </c>
      <c r="E497" s="41"/>
    </row>
    <row r="498" spans="4:11">
      <c r="D498" s="93" t="s">
        <v>884</v>
      </c>
      <c r="E498" s="41"/>
    </row>
    <row r="499" spans="4:11">
      <c r="D499" s="93" t="s">
        <v>885</v>
      </c>
      <c r="E499" s="41"/>
    </row>
    <row r="500" spans="4:11" ht="16" thickBot="1">
      <c r="D500" s="158" t="s">
        <v>886</v>
      </c>
      <c r="E500" s="41"/>
    </row>
    <row r="501" spans="4:11">
      <c r="D501" s="388" t="s">
        <v>879</v>
      </c>
      <c r="E501" s="389"/>
    </row>
    <row r="502" spans="4:11">
      <c r="D502" s="93" t="s">
        <v>887</v>
      </c>
      <c r="E502" s="41"/>
    </row>
    <row r="503" spans="4:11">
      <c r="D503" s="93" t="s">
        <v>888</v>
      </c>
      <c r="E503" s="41"/>
    </row>
    <row r="504" spans="4:11" ht="16" thickBot="1">
      <c r="D504" s="158" t="s">
        <v>889</v>
      </c>
      <c r="E504" s="99"/>
    </row>
    <row r="505" spans="4:11" ht="16" thickBot="1"/>
    <row r="506" spans="4:11" ht="16" thickBot="1">
      <c r="D506" s="390" t="s">
        <v>890</v>
      </c>
      <c r="E506" s="391"/>
    </row>
    <row r="507" spans="4:11">
      <c r="D507" s="223" t="s">
        <v>891</v>
      </c>
      <c r="E507" s="195"/>
    </row>
    <row r="508" spans="4:11">
      <c r="D508" s="93" t="s">
        <v>892</v>
      </c>
      <c r="E508" s="41"/>
    </row>
    <row r="509" spans="4:11" ht="16" thickBot="1">
      <c r="D509" s="158" t="s">
        <v>893</v>
      </c>
      <c r="E509" s="99"/>
    </row>
    <row r="510" spans="4:11" ht="16" thickBot="1"/>
    <row r="511" spans="4:11" ht="16" thickBot="1">
      <c r="D511" s="392" t="s">
        <v>894</v>
      </c>
      <c r="E511" s="393"/>
    </row>
    <row r="512" spans="4:11">
      <c r="D512" s="223" t="s">
        <v>895</v>
      </c>
      <c r="E512" s="225" t="s">
        <v>896</v>
      </c>
      <c r="F512" s="225" t="s">
        <v>897</v>
      </c>
      <c r="G512" s="225" t="s">
        <v>898</v>
      </c>
      <c r="H512" s="225" t="s">
        <v>899</v>
      </c>
      <c r="I512" s="225" t="s">
        <v>900</v>
      </c>
      <c r="J512" s="225" t="s">
        <v>901</v>
      </c>
      <c r="K512" s="224" t="s">
        <v>902</v>
      </c>
    </row>
    <row r="513" spans="4:11" ht="16" thickBot="1">
      <c r="D513" s="107"/>
      <c r="E513" s="106"/>
      <c r="F513" s="106"/>
      <c r="G513" s="106"/>
      <c r="H513" s="106"/>
      <c r="I513" s="106"/>
      <c r="J513" s="106"/>
      <c r="K513" s="99"/>
    </row>
  </sheetData>
  <mergeCells count="166">
    <mergeCell ref="D471:E471"/>
    <mergeCell ref="D477:E477"/>
    <mergeCell ref="D490:E490"/>
    <mergeCell ref="D491:E491"/>
    <mergeCell ref="D492:E492"/>
    <mergeCell ref="D496:E496"/>
    <mergeCell ref="D501:E501"/>
    <mergeCell ref="D506:E506"/>
    <mergeCell ref="D511:E511"/>
    <mergeCell ref="D449:M449"/>
    <mergeCell ref="D458:E458"/>
    <mergeCell ref="D459:E459"/>
    <mergeCell ref="E469:F469"/>
    <mergeCell ref="D383:M383"/>
    <mergeCell ref="D388:M388"/>
    <mergeCell ref="D393:M393"/>
    <mergeCell ref="D396:M396"/>
    <mergeCell ref="D399:E399"/>
    <mergeCell ref="D405:E405"/>
    <mergeCell ref="D406:E406"/>
    <mergeCell ref="D413:L413"/>
    <mergeCell ref="D418:E418"/>
    <mergeCell ref="D419:E419"/>
    <mergeCell ref="D428:E428"/>
    <mergeCell ref="D429:E429"/>
    <mergeCell ref="D430:E430"/>
    <mergeCell ref="D433:E433"/>
    <mergeCell ref="D380:M380"/>
    <mergeCell ref="D381:M381"/>
    <mergeCell ref="D348:L348"/>
    <mergeCell ref="D350:L350"/>
    <mergeCell ref="O351:AC351"/>
    <mergeCell ref="D354:L354"/>
    <mergeCell ref="D436:E436"/>
    <mergeCell ref="P443:AD443"/>
    <mergeCell ref="D440:M440"/>
    <mergeCell ref="D313:M313"/>
    <mergeCell ref="D323:M323"/>
    <mergeCell ref="P327:AD327"/>
    <mergeCell ref="P328:AD328"/>
    <mergeCell ref="P329:AD329"/>
    <mergeCell ref="P330:AD330"/>
    <mergeCell ref="P331:AD331"/>
    <mergeCell ref="P332:AD332"/>
    <mergeCell ref="P333:AD333"/>
    <mergeCell ref="D326:L326"/>
    <mergeCell ref="D290:M290"/>
    <mergeCell ref="P294:AD294"/>
    <mergeCell ref="P295:AD295"/>
    <mergeCell ref="P296:AD296"/>
    <mergeCell ref="D293:M293"/>
    <mergeCell ref="P244:AD244"/>
    <mergeCell ref="P245:AD245"/>
    <mergeCell ref="D160:F160"/>
    <mergeCell ref="D166:E166"/>
    <mergeCell ref="D168:E168"/>
    <mergeCell ref="D169:E169"/>
    <mergeCell ref="D206:E206"/>
    <mergeCell ref="D199:E199"/>
    <mergeCell ref="D200:E200"/>
    <mergeCell ref="G207:P207"/>
    <mergeCell ref="D208:J208"/>
    <mergeCell ref="K209:K215"/>
    <mergeCell ref="E209:E210"/>
    <mergeCell ref="D209:D210"/>
    <mergeCell ref="D126:E126"/>
    <mergeCell ref="G148:G151"/>
    <mergeCell ref="D147:F147"/>
    <mergeCell ref="G106:G109"/>
    <mergeCell ref="D154:E154"/>
    <mergeCell ref="D155:E155"/>
    <mergeCell ref="D273:M273"/>
    <mergeCell ref="D281:M281"/>
    <mergeCell ref="D289:M289"/>
    <mergeCell ref="P299:AD299"/>
    <mergeCell ref="H197:Q197"/>
    <mergeCell ref="J177:N179"/>
    <mergeCell ref="G187:Q187"/>
    <mergeCell ref="G188:Q188"/>
    <mergeCell ref="G189:Q189"/>
    <mergeCell ref="D172:G172"/>
    <mergeCell ref="D176:H176"/>
    <mergeCell ref="D182:E182"/>
    <mergeCell ref="D183:E183"/>
    <mergeCell ref="D184:E184"/>
    <mergeCell ref="G186:Q186"/>
    <mergeCell ref="G190:G195"/>
    <mergeCell ref="P297:AD297"/>
    <mergeCell ref="P298:AD298"/>
    <mergeCell ref="H191:Q191"/>
    <mergeCell ref="H192:Q192"/>
    <mergeCell ref="H193:Q193"/>
    <mergeCell ref="H194:Q194"/>
    <mergeCell ref="D222:E222"/>
    <mergeCell ref="D223:E223"/>
    <mergeCell ref="D226:E226"/>
    <mergeCell ref="D230:M230"/>
    <mergeCell ref="F226:F228"/>
    <mergeCell ref="P300:AD300"/>
    <mergeCell ref="P301:AD301"/>
    <mergeCell ref="P302:AD302"/>
    <mergeCell ref="P303:AD303"/>
    <mergeCell ref="P304:AD304"/>
    <mergeCell ref="P307:AD307"/>
    <mergeCell ref="P308:AD308"/>
    <mergeCell ref="P310:AD310"/>
    <mergeCell ref="P442:AD442"/>
    <mergeCell ref="O364:AC366"/>
    <mergeCell ref="O367:AC369"/>
    <mergeCell ref="O370:AC372"/>
    <mergeCell ref="O373:AC375"/>
    <mergeCell ref="P334:AD334"/>
    <mergeCell ref="P335:AD335"/>
    <mergeCell ref="P336:AD336"/>
    <mergeCell ref="P337:AD337"/>
    <mergeCell ref="P338:AD338"/>
    <mergeCell ref="P343:AD343"/>
    <mergeCell ref="D263:M263"/>
    <mergeCell ref="P258:AD258"/>
    <mergeCell ref="P260:AD260"/>
    <mergeCell ref="D9:E9"/>
    <mergeCell ref="D2:E2"/>
    <mergeCell ref="D3:E3"/>
    <mergeCell ref="D30:E30"/>
    <mergeCell ref="D31:E31"/>
    <mergeCell ref="D39:E39"/>
    <mergeCell ref="D119:E119"/>
    <mergeCell ref="D123:E123"/>
    <mergeCell ref="E120:E122"/>
    <mergeCell ref="D114:F114"/>
    <mergeCell ref="D71:E71"/>
    <mergeCell ref="D72:E72"/>
    <mergeCell ref="D98:E98"/>
    <mergeCell ref="D105:F105"/>
    <mergeCell ref="D109:E109"/>
    <mergeCell ref="I76:R76"/>
    <mergeCell ref="H98:K102"/>
    <mergeCell ref="H147:M151"/>
    <mergeCell ref="D112:E112"/>
    <mergeCell ref="D113:E113"/>
    <mergeCell ref="E115:E118"/>
    <mergeCell ref="P265:AD265"/>
    <mergeCell ref="P247:AD247"/>
    <mergeCell ref="P248:AD248"/>
    <mergeCell ref="P251:AD251"/>
    <mergeCell ref="P252:AD252"/>
    <mergeCell ref="P253:AD253"/>
    <mergeCell ref="P254:AD254"/>
    <mergeCell ref="P235:AD235"/>
    <mergeCell ref="P236:AD236"/>
    <mergeCell ref="P237:AD237"/>
    <mergeCell ref="P238:AD238"/>
    <mergeCell ref="P239:AD239"/>
    <mergeCell ref="P240:AD240"/>
    <mergeCell ref="P259:AD259"/>
    <mergeCell ref="P241:AD241"/>
    <mergeCell ref="P255:AD255"/>
    <mergeCell ref="P257:AD257"/>
    <mergeCell ref="P242:AD242"/>
    <mergeCell ref="P243:AD243"/>
    <mergeCell ref="G222:P222"/>
    <mergeCell ref="F209:I209"/>
    <mergeCell ref="D217:F217"/>
    <mergeCell ref="G218:G219"/>
    <mergeCell ref="D234:M234"/>
    <mergeCell ref="D231:M231"/>
  </mergeCells>
  <dataValidations count="4">
    <dataValidation type="list" allowBlank="1" showInputMessage="1" showErrorMessage="1" sqref="D178:D179" xr:uid="{A07FE08B-F23A-4312-8709-61339C629A59}">
      <formula1>$A$178:$A$179</formula1>
    </dataValidation>
    <dataValidation type="list" allowBlank="1" showInputMessage="1" showErrorMessage="1" sqref="E186:E189 E207 E224 E483 E373:L373 E376:L376 E358:L358 E361:L361 E364:L364 E367:L367 E370:L370 E487:E488 E351:L355" xr:uid="{92987F7A-1760-4752-9BEE-090D9F5741F9}">
      <formula1>$A$186:$A$188</formula1>
    </dataValidation>
    <dataValidation type="list" allowBlank="1" showInputMessage="1" showErrorMessage="1" sqref="E162:F164 E191:F195 E197:F197" xr:uid="{F1A61EA0-206E-479A-95D3-FBADC84B665A}">
      <formula1>$A$162:$A$163</formula1>
    </dataValidation>
    <dataValidation type="list" allowBlank="1" showInputMessage="1" showErrorMessage="1" sqref="D228:E228" xr:uid="{7D59CE7B-21EF-46E4-BCC8-02B35E52EBE0}">
      <formula1>$A$228:$A$229</formula1>
    </dataValidation>
  </dataValidations>
  <pageMargins left="0.7" right="0.7" top="0.78740157499999996" bottom="0.78740157499999996" header="0.3" footer="0.3"/>
  <ignoredErrors>
    <ignoredError sqref="E19 E32 E36"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B22BD-F840-4C59-ABFB-B9A0AB3156C3}">
  <dimension ref="A1:AD513"/>
  <sheetViews>
    <sheetView topLeftCell="C1" zoomScale="50" zoomScaleNormal="50" workbookViewId="0">
      <selection activeCell="L327" sqref="L327"/>
    </sheetView>
  </sheetViews>
  <sheetFormatPr baseColWidth="10" defaultColWidth="8.25" defaultRowHeight="15.5"/>
  <cols>
    <col min="1" max="3" width="14.33203125" style="14" customWidth="1"/>
    <col min="4" max="4" width="119.58203125" style="14" customWidth="1"/>
    <col min="5" max="5" width="46.4140625" style="14" customWidth="1"/>
    <col min="6" max="6" width="65.75" style="14" customWidth="1"/>
    <col min="7" max="8" width="45.9140625" style="14" customWidth="1"/>
    <col min="9" max="9" width="61.4140625" style="14" customWidth="1"/>
    <col min="10" max="10" width="62.4140625" style="14" customWidth="1"/>
    <col min="11" max="12" width="45.9140625" style="14" customWidth="1"/>
    <col min="13" max="13" width="25" style="14" customWidth="1"/>
    <col min="14" max="14" width="22.5" style="14" customWidth="1"/>
    <col min="15" max="15" width="22.58203125" style="56" customWidth="1"/>
    <col min="16" max="16384" width="8.25" style="56"/>
  </cols>
  <sheetData>
    <row r="1" spans="1:14" ht="16" thickBot="1"/>
    <row r="2" spans="1:14" ht="25.5" thickBot="1">
      <c r="D2" s="263" t="s">
        <v>458</v>
      </c>
      <c r="E2" s="265"/>
      <c r="F2" s="7"/>
      <c r="G2" s="7"/>
      <c r="H2" s="7"/>
      <c r="I2" s="7"/>
      <c r="J2" s="7"/>
      <c r="K2" s="13"/>
      <c r="L2" s="7"/>
      <c r="M2" s="7"/>
    </row>
    <row r="3" spans="1:14" ht="31" customHeight="1">
      <c r="A3" s="7"/>
      <c r="B3" s="7"/>
      <c r="C3" s="7"/>
      <c r="D3" s="308" t="s">
        <v>459</v>
      </c>
      <c r="E3" s="308"/>
      <c r="F3" s="7"/>
      <c r="G3" s="7"/>
      <c r="H3" s="7"/>
      <c r="I3" s="7"/>
      <c r="J3" s="7"/>
      <c r="K3" s="7"/>
      <c r="L3" s="7"/>
      <c r="M3" s="7"/>
      <c r="N3" s="7"/>
    </row>
    <row r="4" spans="1:14">
      <c r="A4" s="7"/>
      <c r="B4" s="7"/>
      <c r="C4" s="7"/>
      <c r="D4" s="7"/>
      <c r="E4" s="7"/>
      <c r="F4" s="7"/>
      <c r="G4" s="7"/>
      <c r="H4" s="7"/>
      <c r="I4" s="7"/>
      <c r="J4" s="7"/>
      <c r="K4" s="7"/>
      <c r="L4" s="7"/>
      <c r="M4" s="7"/>
      <c r="N4" s="7"/>
    </row>
    <row r="5" spans="1:14">
      <c r="A5" s="7"/>
      <c r="B5" s="7"/>
      <c r="C5" s="7"/>
      <c r="D5" s="7" t="s">
        <v>461</v>
      </c>
      <c r="E5" s="57" t="s">
        <v>460</v>
      </c>
      <c r="F5" s="7"/>
      <c r="G5" s="7"/>
      <c r="H5" s="7"/>
      <c r="I5" s="7"/>
      <c r="J5" s="7"/>
      <c r="K5" s="7"/>
      <c r="L5" s="7"/>
      <c r="M5" s="7"/>
      <c r="N5" s="7"/>
    </row>
    <row r="6" spans="1:14">
      <c r="A6" s="7"/>
      <c r="B6" s="7"/>
      <c r="C6" s="7"/>
      <c r="D6" s="7" t="s">
        <v>482</v>
      </c>
      <c r="E6" s="58" t="s">
        <v>483</v>
      </c>
      <c r="F6" s="7"/>
      <c r="G6" s="7"/>
      <c r="H6" s="7"/>
      <c r="I6" s="7"/>
      <c r="J6" s="7"/>
      <c r="K6" s="7"/>
      <c r="L6" s="7"/>
      <c r="M6" s="7"/>
      <c r="N6" s="7"/>
    </row>
    <row r="7" spans="1:14">
      <c r="A7" s="7"/>
      <c r="B7" s="7"/>
      <c r="C7" s="7"/>
      <c r="D7" s="7" t="s">
        <v>536</v>
      </c>
      <c r="E7" s="59" t="s">
        <v>537</v>
      </c>
      <c r="F7" s="7"/>
      <c r="G7" s="7"/>
      <c r="H7" s="7"/>
      <c r="I7" s="7"/>
      <c r="J7" s="7"/>
      <c r="K7" s="7"/>
      <c r="L7" s="7"/>
      <c r="M7" s="7"/>
      <c r="N7" s="7"/>
    </row>
    <row r="8" spans="1:14" ht="16" thickBot="1">
      <c r="A8" s="7"/>
      <c r="B8" s="7"/>
      <c r="C8" s="7"/>
      <c r="D8" s="7"/>
      <c r="E8" s="7"/>
      <c r="F8" s="7"/>
      <c r="G8" s="7"/>
      <c r="H8" s="7"/>
      <c r="I8" s="7"/>
      <c r="J8" s="7"/>
      <c r="K8" s="7"/>
      <c r="L8" s="7"/>
      <c r="M8" s="7"/>
      <c r="N8" s="7"/>
    </row>
    <row r="9" spans="1:14" ht="25">
      <c r="D9" s="306" t="s">
        <v>0</v>
      </c>
      <c r="E9" s="307"/>
      <c r="F9" s="7"/>
      <c r="G9" s="7"/>
      <c r="H9" s="7"/>
      <c r="I9" s="7"/>
      <c r="J9" s="7"/>
      <c r="K9" s="7"/>
      <c r="L9" s="7"/>
      <c r="M9" s="7"/>
      <c r="N9" s="7"/>
    </row>
    <row r="10" spans="1:14" ht="17.25" customHeight="1">
      <c r="D10" s="20" t="s">
        <v>463</v>
      </c>
      <c r="E10" s="21" t="s">
        <v>957</v>
      </c>
      <c r="F10" s="7"/>
      <c r="I10" s="7"/>
      <c r="J10" s="7"/>
      <c r="M10" s="7"/>
      <c r="N10" s="7"/>
    </row>
    <row r="11" spans="1:14" ht="17.25" customHeight="1">
      <c r="D11" s="20" t="s">
        <v>651</v>
      </c>
      <c r="E11" s="21" t="s">
        <v>3</v>
      </c>
      <c r="F11" s="7"/>
      <c r="G11" s="7"/>
      <c r="H11" s="7"/>
      <c r="I11" s="7"/>
      <c r="J11" s="7"/>
      <c r="K11" s="7"/>
      <c r="L11" s="7"/>
      <c r="M11" s="7"/>
      <c r="N11" s="7"/>
    </row>
    <row r="12" spans="1:14" ht="17.25" customHeight="1">
      <c r="D12" s="20" t="s">
        <v>652</v>
      </c>
      <c r="E12" s="21" t="s">
        <v>3</v>
      </c>
      <c r="F12" s="7"/>
      <c r="G12" s="7"/>
      <c r="H12" s="7"/>
      <c r="I12" s="7"/>
      <c r="J12" s="7"/>
      <c r="K12" s="7"/>
      <c r="L12" s="7"/>
      <c r="M12" s="7"/>
      <c r="N12" s="7"/>
    </row>
    <row r="13" spans="1:14" ht="17.25" customHeight="1">
      <c r="D13" s="20" t="s">
        <v>464</v>
      </c>
      <c r="E13" s="21" t="s">
        <v>957</v>
      </c>
      <c r="F13" s="7"/>
      <c r="G13" s="7"/>
      <c r="H13" s="7"/>
      <c r="I13" s="7"/>
      <c r="J13" s="7"/>
      <c r="K13" s="7"/>
      <c r="L13" s="7"/>
      <c r="M13" s="7"/>
      <c r="N13" s="7"/>
    </row>
    <row r="14" spans="1:14" ht="17.25" customHeight="1">
      <c r="D14" s="20" t="s">
        <v>465</v>
      </c>
      <c r="E14" s="60">
        <f>+E36</f>
        <v>1.4526739311553356E-2</v>
      </c>
      <c r="F14" s="7"/>
      <c r="G14" s="61"/>
      <c r="H14" s="7"/>
      <c r="I14" s="7"/>
      <c r="J14" s="7"/>
      <c r="K14" s="7"/>
      <c r="L14" s="7"/>
      <c r="M14" s="7"/>
      <c r="N14" s="7"/>
    </row>
    <row r="15" spans="1:14" ht="17.25" customHeight="1">
      <c r="D15" s="20" t="s">
        <v>466</v>
      </c>
      <c r="E15" s="62">
        <f>+E35</f>
        <v>3803650</v>
      </c>
      <c r="F15" s="7"/>
      <c r="G15" s="7"/>
      <c r="H15" s="7"/>
      <c r="I15" s="7"/>
      <c r="J15" s="7"/>
      <c r="K15" s="7"/>
      <c r="L15" s="7"/>
      <c r="M15" s="7"/>
      <c r="N15" s="7"/>
    </row>
    <row r="16" spans="1:14" ht="17.25" customHeight="1">
      <c r="D16" s="20" t="s">
        <v>467</v>
      </c>
      <c r="E16" s="62">
        <f>+E33</f>
        <v>261837837</v>
      </c>
      <c r="F16" s="7"/>
      <c r="G16" s="7"/>
      <c r="H16" s="7"/>
      <c r="I16" s="7"/>
      <c r="J16" s="7"/>
      <c r="K16" s="7"/>
      <c r="L16" s="7"/>
      <c r="M16" s="7"/>
      <c r="N16" s="7"/>
    </row>
    <row r="17" spans="2:14" ht="17.25" customHeight="1">
      <c r="D17" s="20" t="s">
        <v>468</v>
      </c>
      <c r="E17" s="62">
        <f>+E437</f>
        <v>682800</v>
      </c>
      <c r="F17" s="7"/>
      <c r="G17" s="61"/>
      <c r="H17" s="63"/>
      <c r="I17" s="7"/>
      <c r="J17" s="7"/>
      <c r="K17" s="7"/>
      <c r="L17" s="7"/>
      <c r="M17" s="7"/>
      <c r="N17" s="7"/>
    </row>
    <row r="18" spans="2:14" ht="17.25" customHeight="1">
      <c r="D18" s="20" t="s">
        <v>469</v>
      </c>
      <c r="E18" s="62">
        <f>+E475</f>
        <v>0</v>
      </c>
      <c r="F18" s="7"/>
      <c r="G18" s="63"/>
      <c r="H18" s="7"/>
      <c r="I18" s="7"/>
      <c r="J18" s="7"/>
      <c r="K18" s="7"/>
      <c r="L18" s="7"/>
      <c r="M18" s="7"/>
      <c r="N18" s="7"/>
    </row>
    <row r="19" spans="2:14" ht="17.25" customHeight="1">
      <c r="D19" s="20" t="s">
        <v>470</v>
      </c>
      <c r="E19" s="64">
        <f>+E425</f>
        <v>35379524.40760193</v>
      </c>
      <c r="F19" s="7"/>
      <c r="G19" s="7"/>
      <c r="H19" s="7"/>
      <c r="I19" s="7"/>
      <c r="J19" s="7"/>
      <c r="K19" s="7"/>
      <c r="L19" s="7"/>
      <c r="M19" s="7"/>
      <c r="N19" s="7"/>
    </row>
    <row r="20" spans="2:14" ht="17.25" customHeight="1">
      <c r="D20" s="20" t="s">
        <v>471</v>
      </c>
      <c r="E20" s="65"/>
      <c r="F20" s="7"/>
      <c r="G20" s="7"/>
      <c r="H20" s="7"/>
      <c r="I20" s="7"/>
      <c r="J20" s="7"/>
      <c r="K20" s="7"/>
      <c r="L20" s="7"/>
      <c r="M20" s="7"/>
      <c r="N20" s="7"/>
    </row>
    <row r="21" spans="2:14" ht="17.25" customHeight="1">
      <c r="D21" s="20" t="s">
        <v>472</v>
      </c>
      <c r="E21" s="66">
        <f>+E73</f>
        <v>3803650</v>
      </c>
      <c r="F21" s="7"/>
      <c r="G21" s="7"/>
      <c r="H21" s="7"/>
      <c r="I21" s="7"/>
      <c r="J21" s="7"/>
      <c r="K21" s="7"/>
      <c r="L21" s="7"/>
      <c r="M21" s="7"/>
      <c r="N21" s="7"/>
    </row>
    <row r="22" spans="2:14" ht="17.25" customHeight="1">
      <c r="D22" s="20" t="s">
        <v>462</v>
      </c>
      <c r="E22" s="51">
        <f>+E78</f>
        <v>0</v>
      </c>
      <c r="F22" s="7"/>
      <c r="G22" s="7"/>
      <c r="H22" s="7"/>
      <c r="I22" s="7"/>
      <c r="J22" s="7"/>
      <c r="K22" s="7"/>
      <c r="L22" s="7"/>
      <c r="M22" s="7"/>
      <c r="N22" s="7"/>
    </row>
    <row r="23" spans="2:14" ht="17.25" customHeight="1">
      <c r="D23" s="20" t="s">
        <v>473</v>
      </c>
      <c r="E23" s="51">
        <f>+E81</f>
        <v>0</v>
      </c>
      <c r="F23" s="7"/>
      <c r="G23" s="7"/>
      <c r="H23" s="7"/>
      <c r="I23" s="7"/>
      <c r="J23" s="7"/>
      <c r="K23" s="7"/>
      <c r="L23" s="7"/>
      <c r="M23" s="7"/>
      <c r="N23" s="7"/>
    </row>
    <row r="24" spans="2:14" ht="17.25" customHeight="1">
      <c r="D24" s="20" t="s">
        <v>474</v>
      </c>
      <c r="E24" s="66">
        <f>+F123</f>
        <v>125558</v>
      </c>
      <c r="F24" s="7"/>
      <c r="G24" s="7"/>
      <c r="H24" s="7"/>
      <c r="I24" s="7"/>
      <c r="J24" s="7"/>
      <c r="K24" s="7"/>
      <c r="L24" s="7"/>
      <c r="M24" s="7"/>
      <c r="N24" s="7"/>
    </row>
    <row r="25" spans="2:14" ht="17.25" customHeight="1">
      <c r="D25" s="20" t="s">
        <v>475</v>
      </c>
      <c r="E25" s="51">
        <f>+E55</f>
        <v>0</v>
      </c>
      <c r="F25" s="7"/>
      <c r="G25" s="7"/>
      <c r="H25" s="7"/>
      <c r="I25" s="7"/>
      <c r="J25" s="7"/>
      <c r="K25" s="7"/>
      <c r="L25" s="7"/>
      <c r="M25" s="7"/>
      <c r="N25" s="7"/>
    </row>
    <row r="26" spans="2:14" ht="17.25" customHeight="1">
      <c r="B26" s="56"/>
      <c r="C26" s="56"/>
      <c r="D26" s="20" t="s">
        <v>476</v>
      </c>
      <c r="E26" s="257">
        <f>E93</f>
        <v>0</v>
      </c>
      <c r="F26" s="7"/>
      <c r="G26" s="7"/>
      <c r="H26" s="7"/>
      <c r="I26" s="7"/>
      <c r="J26" s="7"/>
      <c r="K26" s="7"/>
      <c r="L26" s="7"/>
      <c r="M26" s="7"/>
      <c r="N26" s="7"/>
    </row>
    <row r="27" spans="2:14" ht="17.25" customHeight="1" thickBot="1">
      <c r="D27" s="22" t="s">
        <v>477</v>
      </c>
      <c r="E27" s="67"/>
      <c r="F27" s="7"/>
      <c r="G27" s="7"/>
      <c r="H27" s="7"/>
      <c r="I27" s="7"/>
      <c r="J27" s="7"/>
      <c r="K27" s="7"/>
      <c r="L27" s="7"/>
      <c r="M27" s="7"/>
      <c r="N27" s="7"/>
    </row>
    <row r="28" spans="2:14">
      <c r="D28" s="7"/>
      <c r="E28" s="7"/>
      <c r="F28" s="7"/>
      <c r="G28" s="7"/>
      <c r="H28" s="7"/>
      <c r="I28" s="7"/>
      <c r="J28" s="7"/>
      <c r="K28" s="7"/>
      <c r="L28" s="7"/>
      <c r="M28" s="7"/>
      <c r="N28" s="7"/>
    </row>
    <row r="29" spans="2:14" ht="16" thickBot="1">
      <c r="D29" s="10"/>
      <c r="E29" s="7"/>
      <c r="F29" s="7"/>
      <c r="G29" s="7"/>
      <c r="H29" s="7"/>
      <c r="I29" s="7"/>
      <c r="J29" s="7"/>
      <c r="K29" s="7"/>
      <c r="L29" s="7"/>
      <c r="M29" s="7"/>
      <c r="N29" s="7"/>
    </row>
    <row r="30" spans="2:14" ht="25.5" thickBot="1">
      <c r="D30" s="306" t="s">
        <v>4</v>
      </c>
      <c r="E30" s="307" t="s">
        <v>1</v>
      </c>
      <c r="F30" s="7"/>
      <c r="G30" s="7"/>
      <c r="H30" s="7"/>
      <c r="I30" s="7"/>
      <c r="J30" s="7"/>
      <c r="K30" s="68"/>
      <c r="L30" s="7"/>
      <c r="M30" s="7"/>
      <c r="N30" s="7"/>
    </row>
    <row r="31" spans="2:14" ht="20">
      <c r="D31" s="309" t="s">
        <v>6</v>
      </c>
      <c r="E31" s="310" t="s">
        <v>1</v>
      </c>
      <c r="F31" s="69" t="s">
        <v>5</v>
      </c>
      <c r="G31" s="69"/>
      <c r="H31" s="2"/>
      <c r="I31" s="7"/>
      <c r="J31" s="7"/>
      <c r="K31" s="17"/>
    </row>
    <row r="32" spans="2:14">
      <c r="D32" s="23" t="s">
        <v>9</v>
      </c>
      <c r="E32" s="70">
        <f>+M233</f>
        <v>258034187</v>
      </c>
      <c r="F32" s="69" t="s">
        <v>7</v>
      </c>
      <c r="G32" s="69" t="s">
        <v>8</v>
      </c>
      <c r="I32" s="7"/>
      <c r="J32" s="7"/>
      <c r="K32" s="68"/>
    </row>
    <row r="33" spans="4:11">
      <c r="D33" s="24" t="s">
        <v>478</v>
      </c>
      <c r="E33" s="70">
        <f>+E68</f>
        <v>261837837</v>
      </c>
      <c r="F33" s="69" t="s">
        <v>10</v>
      </c>
      <c r="G33" s="69" t="s">
        <v>11</v>
      </c>
      <c r="H33" s="71"/>
      <c r="I33" s="7"/>
      <c r="J33" s="7"/>
      <c r="K33" s="32"/>
    </row>
    <row r="34" spans="4:11">
      <c r="D34" s="24" t="s">
        <v>479</v>
      </c>
      <c r="E34" s="70">
        <f>+E42</f>
        <v>3803650</v>
      </c>
      <c r="F34" s="69" t="s">
        <v>12</v>
      </c>
      <c r="G34" s="69" t="s">
        <v>13</v>
      </c>
      <c r="I34" s="7"/>
      <c r="J34" s="7"/>
      <c r="K34" s="68"/>
    </row>
    <row r="35" spans="4:11">
      <c r="D35" s="24" t="s">
        <v>480</v>
      </c>
      <c r="E35" s="70">
        <f>+M311</f>
        <v>3803650</v>
      </c>
      <c r="F35" s="69" t="s">
        <v>14</v>
      </c>
      <c r="G35" s="69" t="s">
        <v>15</v>
      </c>
      <c r="H35" s="71"/>
      <c r="I35" s="7"/>
      <c r="J35" s="7"/>
      <c r="K35" s="7"/>
    </row>
    <row r="36" spans="4:11" ht="16" thickBot="1">
      <c r="D36" s="25" t="s">
        <v>481</v>
      </c>
      <c r="E36" s="72">
        <f>+E35/E33</f>
        <v>1.4526739311553356E-2</v>
      </c>
      <c r="F36" s="69" t="s">
        <v>16</v>
      </c>
      <c r="G36" s="69" t="s">
        <v>17</v>
      </c>
      <c r="I36" s="7"/>
      <c r="J36" s="7"/>
      <c r="K36" s="68"/>
    </row>
    <row r="37" spans="4:11">
      <c r="D37" s="56"/>
      <c r="E37" s="56"/>
      <c r="F37" s="7"/>
      <c r="G37" s="56"/>
      <c r="I37" s="7"/>
      <c r="J37" s="7"/>
      <c r="K37" s="7"/>
    </row>
    <row r="38" spans="4:11" ht="16" thickBot="1">
      <c r="D38" s="56"/>
      <c r="E38" s="56"/>
      <c r="G38" s="56"/>
      <c r="I38" s="7"/>
      <c r="J38" s="7"/>
      <c r="K38" s="7"/>
    </row>
    <row r="39" spans="4:11" ht="16" thickBot="1">
      <c r="D39" s="311" t="s">
        <v>18</v>
      </c>
      <c r="E39" s="312"/>
      <c r="F39" s="33"/>
      <c r="G39" s="56"/>
      <c r="I39" s="7"/>
      <c r="J39" s="7"/>
      <c r="K39" s="7"/>
    </row>
    <row r="40" spans="4:11">
      <c r="D40" s="26" t="s">
        <v>20</v>
      </c>
      <c r="E40" s="29">
        <f>+M233</f>
        <v>258034187</v>
      </c>
      <c r="F40" s="69" t="s">
        <v>19</v>
      </c>
      <c r="G40" s="69"/>
      <c r="K40" s="73"/>
    </row>
    <row r="41" spans="4:11">
      <c r="D41" s="27" t="s">
        <v>22</v>
      </c>
      <c r="E41" s="74" t="s">
        <v>140</v>
      </c>
      <c r="F41" s="69" t="s">
        <v>21</v>
      </c>
      <c r="G41" s="69"/>
      <c r="H41" s="56"/>
      <c r="I41" s="56"/>
      <c r="J41" s="56"/>
      <c r="K41" s="32"/>
    </row>
    <row r="42" spans="4:11">
      <c r="D42" s="27" t="s">
        <v>484</v>
      </c>
      <c r="E42" s="30">
        <f>+M235</f>
        <v>3803650</v>
      </c>
      <c r="F42" s="69" t="s">
        <v>23</v>
      </c>
      <c r="G42" s="69" t="s">
        <v>512</v>
      </c>
    </row>
    <row r="43" spans="4:11">
      <c r="D43" s="27" t="s">
        <v>485</v>
      </c>
      <c r="E43" s="30">
        <f t="shared" ref="E43:E67" si="0">+M236</f>
        <v>0</v>
      </c>
      <c r="F43" s="69" t="s">
        <v>24</v>
      </c>
      <c r="G43" s="69" t="s">
        <v>510</v>
      </c>
      <c r="H43" s="71"/>
    </row>
    <row r="44" spans="4:11">
      <c r="D44" s="27" t="s">
        <v>486</v>
      </c>
      <c r="E44" s="30">
        <f t="shared" si="0"/>
        <v>0</v>
      </c>
      <c r="F44" s="69" t="s">
        <v>25</v>
      </c>
      <c r="G44" s="69" t="s">
        <v>511</v>
      </c>
      <c r="H44" s="71"/>
    </row>
    <row r="45" spans="4:11">
      <c r="D45" s="27" t="s">
        <v>487</v>
      </c>
      <c r="E45" s="30">
        <f t="shared" si="0"/>
        <v>0</v>
      </c>
      <c r="F45" s="69" t="s">
        <v>26</v>
      </c>
      <c r="G45" s="69" t="s">
        <v>513</v>
      </c>
    </row>
    <row r="46" spans="4:11">
      <c r="D46" s="27" t="s">
        <v>488</v>
      </c>
      <c r="E46" s="30">
        <f t="shared" si="0"/>
        <v>0</v>
      </c>
      <c r="F46" s="69" t="s">
        <v>27</v>
      </c>
      <c r="G46" s="69" t="s">
        <v>514</v>
      </c>
    </row>
    <row r="47" spans="4:11">
      <c r="D47" s="27" t="s">
        <v>489</v>
      </c>
      <c r="E47" s="30">
        <f t="shared" si="0"/>
        <v>0</v>
      </c>
      <c r="F47" s="69" t="s">
        <v>28</v>
      </c>
      <c r="G47" s="69" t="s">
        <v>515</v>
      </c>
    </row>
    <row r="48" spans="4:11">
      <c r="D48" s="27" t="s">
        <v>490</v>
      </c>
      <c r="E48" s="30">
        <f t="shared" si="0"/>
        <v>0</v>
      </c>
      <c r="F48" s="69" t="s">
        <v>29</v>
      </c>
      <c r="G48" s="69" t="s">
        <v>516</v>
      </c>
      <c r="H48" s="71"/>
    </row>
    <row r="49" spans="4:8">
      <c r="D49" s="27" t="s">
        <v>491</v>
      </c>
      <c r="E49" s="30">
        <f t="shared" si="0"/>
        <v>0</v>
      </c>
      <c r="F49" s="69" t="s">
        <v>30</v>
      </c>
      <c r="G49" s="69" t="s">
        <v>517</v>
      </c>
      <c r="H49" s="71"/>
    </row>
    <row r="50" spans="4:8">
      <c r="D50" s="27" t="s">
        <v>492</v>
      </c>
      <c r="E50" s="30">
        <f t="shared" si="0"/>
        <v>0</v>
      </c>
      <c r="F50" s="69" t="s">
        <v>31</v>
      </c>
      <c r="G50" s="69" t="s">
        <v>518</v>
      </c>
    </row>
    <row r="51" spans="4:8">
      <c r="D51" s="27" t="s">
        <v>493</v>
      </c>
      <c r="E51" s="30">
        <f t="shared" si="0"/>
        <v>0</v>
      </c>
      <c r="F51" s="69" t="s">
        <v>32</v>
      </c>
      <c r="G51" s="69" t="s">
        <v>519</v>
      </c>
    </row>
    <row r="52" spans="4:8">
      <c r="D52" s="27" t="s">
        <v>494</v>
      </c>
      <c r="E52" s="30">
        <f t="shared" si="0"/>
        <v>0</v>
      </c>
      <c r="F52" s="69" t="s">
        <v>33</v>
      </c>
      <c r="G52" s="69" t="s">
        <v>520</v>
      </c>
    </row>
    <row r="53" spans="4:8">
      <c r="D53" s="27" t="s">
        <v>496</v>
      </c>
      <c r="E53" s="30">
        <f t="shared" si="0"/>
        <v>0</v>
      </c>
      <c r="F53" s="69" t="s">
        <v>34</v>
      </c>
      <c r="G53" s="69" t="s">
        <v>521</v>
      </c>
      <c r="H53" s="71"/>
    </row>
    <row r="54" spans="4:8">
      <c r="D54" s="27" t="s">
        <v>495</v>
      </c>
      <c r="E54" s="30">
        <f t="shared" si="0"/>
        <v>0</v>
      </c>
      <c r="F54" s="69" t="s">
        <v>35</v>
      </c>
      <c r="G54" s="69" t="s">
        <v>522</v>
      </c>
      <c r="H54" s="71"/>
    </row>
    <row r="55" spans="4:8">
      <c r="D55" s="27" t="s">
        <v>497</v>
      </c>
      <c r="E55" s="30">
        <f t="shared" si="0"/>
        <v>0</v>
      </c>
      <c r="F55" s="69" t="s">
        <v>36</v>
      </c>
      <c r="G55" s="69" t="s">
        <v>523</v>
      </c>
    </row>
    <row r="56" spans="4:8">
      <c r="D56" s="27" t="s">
        <v>498</v>
      </c>
      <c r="E56" s="30">
        <f t="shared" si="0"/>
        <v>0</v>
      </c>
      <c r="F56" s="69" t="s">
        <v>37</v>
      </c>
      <c r="G56" s="69" t="s">
        <v>524</v>
      </c>
    </row>
    <row r="57" spans="4:8">
      <c r="D57" s="27" t="s">
        <v>499</v>
      </c>
      <c r="E57" s="30">
        <f t="shared" si="0"/>
        <v>0</v>
      </c>
      <c r="F57" s="69" t="s">
        <v>38</v>
      </c>
      <c r="G57" s="69" t="s">
        <v>525</v>
      </c>
    </row>
    <row r="58" spans="4:8">
      <c r="D58" s="27" t="s">
        <v>500</v>
      </c>
      <c r="E58" s="30">
        <f t="shared" si="0"/>
        <v>0</v>
      </c>
      <c r="F58" s="69" t="s">
        <v>39</v>
      </c>
      <c r="G58" s="69" t="s">
        <v>526</v>
      </c>
    </row>
    <row r="59" spans="4:8">
      <c r="D59" s="27" t="s">
        <v>501</v>
      </c>
      <c r="E59" s="30">
        <f t="shared" si="0"/>
        <v>0</v>
      </c>
      <c r="F59" s="69" t="s">
        <v>40</v>
      </c>
      <c r="G59" s="69" t="s">
        <v>527</v>
      </c>
    </row>
    <row r="60" spans="4:8">
      <c r="D60" s="27" t="s">
        <v>502</v>
      </c>
      <c r="E60" s="30">
        <f t="shared" si="0"/>
        <v>0</v>
      </c>
      <c r="F60" s="69" t="s">
        <v>41</v>
      </c>
      <c r="G60" s="69" t="s">
        <v>528</v>
      </c>
    </row>
    <row r="61" spans="4:8" ht="31">
      <c r="D61" s="27" t="s">
        <v>503</v>
      </c>
      <c r="E61" s="30">
        <f t="shared" si="0"/>
        <v>0</v>
      </c>
      <c r="F61" s="69" t="s">
        <v>42</v>
      </c>
      <c r="G61" s="69" t="s">
        <v>529</v>
      </c>
    </row>
    <row r="62" spans="4:8">
      <c r="D62" s="27" t="s">
        <v>504</v>
      </c>
      <c r="E62" s="30">
        <f t="shared" si="0"/>
        <v>0</v>
      </c>
      <c r="F62" s="69" t="s">
        <v>43</v>
      </c>
      <c r="G62" s="69" t="s">
        <v>530</v>
      </c>
    </row>
    <row r="63" spans="4:8">
      <c r="D63" s="27" t="s">
        <v>505</v>
      </c>
      <c r="E63" s="30">
        <f t="shared" si="0"/>
        <v>0</v>
      </c>
      <c r="F63" s="69" t="s">
        <v>44</v>
      </c>
      <c r="G63" s="69" t="s">
        <v>531</v>
      </c>
    </row>
    <row r="64" spans="4:8">
      <c r="D64" s="27" t="s">
        <v>506</v>
      </c>
      <c r="E64" s="30">
        <f t="shared" si="0"/>
        <v>0</v>
      </c>
      <c r="F64" s="69" t="s">
        <v>45</v>
      </c>
      <c r="G64" s="69" t="s">
        <v>532</v>
      </c>
    </row>
    <row r="65" spans="4:18">
      <c r="D65" s="27" t="s">
        <v>507</v>
      </c>
      <c r="E65" s="30">
        <f t="shared" si="0"/>
        <v>0</v>
      </c>
      <c r="F65" s="69" t="s">
        <v>46</v>
      </c>
      <c r="G65" s="69" t="s">
        <v>533</v>
      </c>
    </row>
    <row r="66" spans="4:18">
      <c r="D66" s="27" t="s">
        <v>508</v>
      </c>
      <c r="E66" s="30">
        <f t="shared" si="0"/>
        <v>0</v>
      </c>
      <c r="F66" s="69" t="s">
        <v>47</v>
      </c>
      <c r="G66" s="69" t="s">
        <v>534</v>
      </c>
    </row>
    <row r="67" spans="4:18">
      <c r="D67" s="27" t="s">
        <v>509</v>
      </c>
      <c r="E67" s="30">
        <f t="shared" si="0"/>
        <v>0</v>
      </c>
      <c r="F67" s="69" t="s">
        <v>48</v>
      </c>
      <c r="G67" s="69" t="s">
        <v>535</v>
      </c>
      <c r="H67" s="71"/>
    </row>
    <row r="68" spans="4:18" ht="16" thickBot="1">
      <c r="D68" s="31" t="s">
        <v>50</v>
      </c>
      <c r="E68" s="75">
        <f>+M261</f>
        <v>261837837</v>
      </c>
      <c r="F68" s="69" t="s">
        <v>10</v>
      </c>
      <c r="G68" s="69" t="s">
        <v>49</v>
      </c>
    </row>
    <row r="69" spans="4:18" ht="15.75" customHeight="1">
      <c r="G69" s="56"/>
    </row>
    <row r="70" spans="4:18" ht="15" customHeight="1" thickBot="1">
      <c r="G70" s="56"/>
    </row>
    <row r="71" spans="4:18" ht="14.25" customHeight="1" thickBot="1">
      <c r="D71" s="311" t="s">
        <v>51</v>
      </c>
      <c r="E71" s="312"/>
      <c r="G71" s="56"/>
    </row>
    <row r="72" spans="4:18">
      <c r="D72" s="311" t="s">
        <v>52</v>
      </c>
      <c r="E72" s="312"/>
      <c r="F72" s="69"/>
      <c r="G72" s="69"/>
      <c r="H72" s="69"/>
    </row>
    <row r="73" spans="4:18">
      <c r="D73" s="37" t="s">
        <v>55</v>
      </c>
      <c r="E73" s="38">
        <f>+M292</f>
        <v>3803650</v>
      </c>
      <c r="F73" s="69" t="s">
        <v>53</v>
      </c>
      <c r="G73" s="69" t="s">
        <v>54</v>
      </c>
      <c r="H73" s="69"/>
      <c r="I73" s="7"/>
      <c r="K73" s="32"/>
    </row>
    <row r="74" spans="4:18">
      <c r="D74" s="37" t="s">
        <v>22</v>
      </c>
      <c r="E74" s="76" t="s">
        <v>140</v>
      </c>
      <c r="F74" s="69" t="s">
        <v>21</v>
      </c>
      <c r="G74" s="69"/>
      <c r="H74" s="69"/>
      <c r="I74" s="7"/>
      <c r="K74" s="32"/>
    </row>
    <row r="75" spans="4:18">
      <c r="D75" s="20" t="s">
        <v>539</v>
      </c>
      <c r="E75" s="30">
        <f>+M294</f>
        <v>0</v>
      </c>
      <c r="F75" s="69" t="s">
        <v>57</v>
      </c>
      <c r="G75" s="69" t="s">
        <v>56</v>
      </c>
      <c r="H75" s="69" t="s">
        <v>557</v>
      </c>
      <c r="I75" s="7"/>
    </row>
    <row r="76" spans="4:18" ht="69.5" customHeight="1">
      <c r="D76" s="20" t="s">
        <v>540</v>
      </c>
      <c r="E76" s="40">
        <v>0</v>
      </c>
      <c r="F76" s="69"/>
      <c r="G76" s="69" t="s">
        <v>58</v>
      </c>
      <c r="H76" s="69" t="s">
        <v>558</v>
      </c>
      <c r="I76" s="292" t="s">
        <v>59</v>
      </c>
      <c r="J76" s="292"/>
      <c r="K76" s="292"/>
      <c r="L76" s="292"/>
      <c r="M76" s="292"/>
      <c r="N76" s="292"/>
      <c r="O76" s="292"/>
      <c r="P76" s="292"/>
      <c r="Q76" s="292"/>
      <c r="R76" s="292"/>
    </row>
    <row r="77" spans="4:18">
      <c r="D77" s="20" t="s">
        <v>541</v>
      </c>
      <c r="E77" s="30">
        <f>+M295</f>
        <v>0</v>
      </c>
      <c r="F77" s="69" t="s">
        <v>61</v>
      </c>
      <c r="G77" s="69" t="s">
        <v>60</v>
      </c>
      <c r="H77" s="69" t="s">
        <v>559</v>
      </c>
    </row>
    <row r="78" spans="4:18" ht="31">
      <c r="D78" s="20" t="s">
        <v>542</v>
      </c>
      <c r="E78" s="30">
        <f t="shared" ref="E78:E91" si="1">+M296</f>
        <v>0</v>
      </c>
      <c r="F78" s="69" t="s">
        <v>63</v>
      </c>
      <c r="G78" s="69" t="s">
        <v>62</v>
      </c>
      <c r="H78" s="69" t="s">
        <v>64</v>
      </c>
      <c r="I78" s="7"/>
    </row>
    <row r="79" spans="4:18">
      <c r="D79" s="20" t="s">
        <v>572</v>
      </c>
      <c r="E79" s="30">
        <f t="shared" si="1"/>
        <v>0</v>
      </c>
      <c r="F79" s="69" t="s">
        <v>66</v>
      </c>
      <c r="G79" s="69" t="s">
        <v>65</v>
      </c>
      <c r="H79" s="69" t="s">
        <v>560</v>
      </c>
      <c r="I79" s="7"/>
    </row>
    <row r="80" spans="4:18">
      <c r="D80" s="20" t="s">
        <v>543</v>
      </c>
      <c r="E80" s="30">
        <f t="shared" si="1"/>
        <v>0</v>
      </c>
      <c r="F80" s="69" t="s">
        <v>68</v>
      </c>
      <c r="G80" s="69" t="s">
        <v>67</v>
      </c>
      <c r="H80" s="69" t="s">
        <v>561</v>
      </c>
      <c r="I80" s="7"/>
    </row>
    <row r="81" spans="4:13" ht="31">
      <c r="D81" s="20" t="s">
        <v>545</v>
      </c>
      <c r="E81" s="30">
        <f t="shared" si="1"/>
        <v>0</v>
      </c>
      <c r="F81" s="69" t="s">
        <v>70</v>
      </c>
      <c r="G81" s="69" t="s">
        <v>69</v>
      </c>
      <c r="H81" s="69" t="s">
        <v>71</v>
      </c>
      <c r="I81" s="7"/>
    </row>
    <row r="82" spans="4:13" ht="31">
      <c r="D82" s="20" t="s">
        <v>546</v>
      </c>
      <c r="E82" s="30">
        <f t="shared" si="1"/>
        <v>0</v>
      </c>
      <c r="F82" s="69" t="s">
        <v>73</v>
      </c>
      <c r="G82" s="69" t="s">
        <v>72</v>
      </c>
      <c r="H82" s="69" t="s">
        <v>74</v>
      </c>
      <c r="I82" s="7"/>
    </row>
    <row r="83" spans="4:13">
      <c r="D83" s="20" t="s">
        <v>544</v>
      </c>
      <c r="E83" s="30">
        <f t="shared" si="1"/>
        <v>0</v>
      </c>
      <c r="F83" s="69" t="s">
        <v>76</v>
      </c>
      <c r="G83" s="69" t="s">
        <v>75</v>
      </c>
      <c r="H83" s="69" t="s">
        <v>562</v>
      </c>
      <c r="I83" s="7"/>
    </row>
    <row r="84" spans="4:13">
      <c r="D84" s="20" t="s">
        <v>547</v>
      </c>
      <c r="E84" s="30">
        <f t="shared" si="1"/>
        <v>0</v>
      </c>
      <c r="F84" s="69" t="s">
        <v>78</v>
      </c>
      <c r="G84" s="69" t="s">
        <v>77</v>
      </c>
      <c r="H84" s="69" t="s">
        <v>563</v>
      </c>
      <c r="I84" s="7"/>
    </row>
    <row r="85" spans="4:13">
      <c r="D85" s="20" t="s">
        <v>548</v>
      </c>
      <c r="E85" s="30">
        <f t="shared" si="1"/>
        <v>0</v>
      </c>
      <c r="F85" s="69" t="s">
        <v>80</v>
      </c>
      <c r="G85" s="69" t="s">
        <v>79</v>
      </c>
      <c r="H85" s="69" t="s">
        <v>564</v>
      </c>
      <c r="I85" s="7"/>
    </row>
    <row r="86" spans="4:13">
      <c r="D86" s="20" t="s">
        <v>550</v>
      </c>
      <c r="E86" s="30">
        <f t="shared" si="1"/>
        <v>0</v>
      </c>
      <c r="F86" s="69" t="s">
        <v>82</v>
      </c>
      <c r="G86" s="69" t="s">
        <v>81</v>
      </c>
      <c r="H86" s="69" t="s">
        <v>565</v>
      </c>
      <c r="I86" s="7"/>
    </row>
    <row r="87" spans="4:13">
      <c r="D87" s="20" t="s">
        <v>551</v>
      </c>
      <c r="E87" s="30">
        <f t="shared" si="1"/>
        <v>0</v>
      </c>
      <c r="F87" s="69" t="s">
        <v>84</v>
      </c>
      <c r="G87" s="69" t="s">
        <v>83</v>
      </c>
      <c r="H87" s="69" t="s">
        <v>566</v>
      </c>
      <c r="I87" s="7"/>
    </row>
    <row r="88" spans="4:13">
      <c r="D88" s="20" t="s">
        <v>549</v>
      </c>
      <c r="E88" s="30">
        <f t="shared" si="1"/>
        <v>0</v>
      </c>
      <c r="F88" s="69" t="s">
        <v>86</v>
      </c>
      <c r="G88" s="69" t="s">
        <v>85</v>
      </c>
      <c r="H88" s="69" t="s">
        <v>567</v>
      </c>
      <c r="I88" s="7"/>
    </row>
    <row r="89" spans="4:13">
      <c r="D89" s="20" t="s">
        <v>573</v>
      </c>
      <c r="E89" s="30">
        <f t="shared" si="1"/>
        <v>0</v>
      </c>
      <c r="F89" s="69" t="s">
        <v>88</v>
      </c>
      <c r="G89" s="69" t="s">
        <v>87</v>
      </c>
      <c r="H89" s="69" t="s">
        <v>568</v>
      </c>
      <c r="I89" s="7"/>
    </row>
    <row r="90" spans="4:13">
      <c r="D90" s="20" t="s">
        <v>552</v>
      </c>
      <c r="E90" s="30">
        <f t="shared" si="1"/>
        <v>0</v>
      </c>
      <c r="F90" s="69" t="s">
        <v>90</v>
      </c>
      <c r="G90" s="69" t="s">
        <v>89</v>
      </c>
      <c r="H90" s="69" t="s">
        <v>569</v>
      </c>
      <c r="I90" s="7"/>
    </row>
    <row r="91" spans="4:13">
      <c r="D91" s="20" t="s">
        <v>553</v>
      </c>
      <c r="E91" s="30">
        <f t="shared" si="1"/>
        <v>0</v>
      </c>
      <c r="F91" s="69" t="s">
        <v>92</v>
      </c>
      <c r="G91" s="69" t="s">
        <v>91</v>
      </c>
      <c r="H91" s="69" t="s">
        <v>570</v>
      </c>
      <c r="I91" s="7"/>
    </row>
    <row r="92" spans="4:13" ht="31">
      <c r="D92" s="20" t="s">
        <v>554</v>
      </c>
      <c r="E92" s="30">
        <f>+M310</f>
        <v>0</v>
      </c>
      <c r="F92" s="69" t="s">
        <v>91</v>
      </c>
      <c r="G92" s="69" t="s">
        <v>93</v>
      </c>
      <c r="H92" s="69" t="s">
        <v>571</v>
      </c>
      <c r="I92" s="7"/>
    </row>
    <row r="93" spans="4:13">
      <c r="D93" s="20" t="s">
        <v>555</v>
      </c>
      <c r="E93" s="30">
        <f>+E102</f>
        <v>0</v>
      </c>
      <c r="F93" s="69" t="s">
        <v>95</v>
      </c>
      <c r="G93" s="69" t="s">
        <v>94</v>
      </c>
      <c r="H93" s="69" t="s">
        <v>96</v>
      </c>
      <c r="I93" s="7"/>
    </row>
    <row r="94" spans="4:13" ht="31">
      <c r="D94" s="20" t="s">
        <v>556</v>
      </c>
      <c r="E94" s="30">
        <f>+E101</f>
        <v>0</v>
      </c>
      <c r="F94" s="69" t="s">
        <v>98</v>
      </c>
      <c r="G94" s="69" t="s">
        <v>97</v>
      </c>
      <c r="H94" s="69" t="s">
        <v>99</v>
      </c>
      <c r="I94" s="7"/>
    </row>
    <row r="95" spans="4:13" ht="16" thickBot="1">
      <c r="D95" s="39" t="s">
        <v>100</v>
      </c>
      <c r="E95" s="77">
        <f>E73+SUM(E75:E94)</f>
        <v>3803650</v>
      </c>
      <c r="F95" s="69"/>
      <c r="G95" s="69" t="s">
        <v>14</v>
      </c>
      <c r="H95" s="69"/>
      <c r="I95" s="7"/>
      <c r="K95" s="78"/>
      <c r="L95" s="68"/>
      <c r="M95" s="32"/>
    </row>
    <row r="96" spans="4:13">
      <c r="D96" s="15"/>
      <c r="E96" s="79"/>
      <c r="F96" s="7"/>
      <c r="G96" s="56"/>
      <c r="H96" s="7"/>
      <c r="I96" s="7"/>
    </row>
    <row r="97" spans="4:11" ht="16" thickBot="1">
      <c r="D97" s="15"/>
      <c r="E97" s="79"/>
      <c r="F97" s="7"/>
      <c r="G97" s="56"/>
      <c r="H97" s="7"/>
      <c r="I97" s="7"/>
    </row>
    <row r="98" spans="4:11">
      <c r="D98" s="311" t="s">
        <v>574</v>
      </c>
      <c r="E98" s="312" t="s">
        <v>102</v>
      </c>
      <c r="F98" s="69" t="s">
        <v>101</v>
      </c>
      <c r="G98" s="69"/>
      <c r="H98" s="355" t="s">
        <v>103</v>
      </c>
      <c r="I98" s="355"/>
      <c r="J98" s="355"/>
      <c r="K98" s="355"/>
    </row>
    <row r="99" spans="4:11" ht="24.75" customHeight="1">
      <c r="D99" s="43" t="s">
        <v>575</v>
      </c>
      <c r="E99" s="41">
        <v>0</v>
      </c>
      <c r="F99" s="69" t="s">
        <v>104</v>
      </c>
      <c r="G99" s="69" t="s">
        <v>105</v>
      </c>
      <c r="H99" s="355"/>
      <c r="I99" s="355"/>
      <c r="J99" s="355"/>
      <c r="K99" s="355"/>
    </row>
    <row r="100" spans="4:11" ht="27" customHeight="1">
      <c r="D100" s="43" t="s">
        <v>576</v>
      </c>
      <c r="E100" s="41">
        <v>0</v>
      </c>
      <c r="F100" s="69" t="s">
        <v>95</v>
      </c>
      <c r="G100" s="69" t="s">
        <v>106</v>
      </c>
      <c r="H100" s="355"/>
      <c r="I100" s="355"/>
      <c r="J100" s="355"/>
      <c r="K100" s="355"/>
    </row>
    <row r="101" spans="4:11" ht="24.75" customHeight="1">
      <c r="D101" s="43" t="s">
        <v>577</v>
      </c>
      <c r="E101" s="41">
        <v>0</v>
      </c>
      <c r="F101" s="69" t="s">
        <v>98</v>
      </c>
      <c r="G101" s="69" t="s">
        <v>107</v>
      </c>
      <c r="H101" s="355"/>
      <c r="I101" s="355"/>
      <c r="J101" s="355"/>
      <c r="K101" s="355"/>
    </row>
    <row r="102" spans="4:11" ht="19.5" customHeight="1" thickBot="1">
      <c r="D102" s="44" t="s">
        <v>578</v>
      </c>
      <c r="E102" s="124">
        <f>+E99+E100+E101</f>
        <v>0</v>
      </c>
      <c r="F102" s="69" t="s">
        <v>108</v>
      </c>
      <c r="G102" s="69" t="s">
        <v>109</v>
      </c>
      <c r="H102" s="355"/>
      <c r="I102" s="355"/>
      <c r="J102" s="355"/>
      <c r="K102" s="355"/>
    </row>
    <row r="103" spans="4:11" ht="12.75" customHeight="1">
      <c r="D103" s="5"/>
      <c r="E103" s="6"/>
      <c r="F103" s="7"/>
      <c r="G103" s="7"/>
      <c r="H103" s="7"/>
      <c r="I103" s="7"/>
    </row>
    <row r="104" spans="4:11" ht="12.75" customHeight="1" thickBot="1">
      <c r="D104" s="5"/>
      <c r="E104" s="6"/>
      <c r="F104" s="5"/>
      <c r="G104" s="7"/>
      <c r="H104" s="7"/>
      <c r="I104" s="7"/>
    </row>
    <row r="105" spans="4:11">
      <c r="D105" s="320" t="s">
        <v>579</v>
      </c>
      <c r="E105" s="321"/>
      <c r="F105" s="322"/>
      <c r="G105" s="7"/>
      <c r="H105" s="7"/>
      <c r="I105" s="7"/>
    </row>
    <row r="106" spans="4:11" ht="49.5" customHeight="1">
      <c r="D106" s="24" t="s">
        <v>111</v>
      </c>
      <c r="E106" s="1" t="s">
        <v>112</v>
      </c>
      <c r="F106" s="46" t="s">
        <v>113</v>
      </c>
      <c r="G106" s="299" t="s">
        <v>110</v>
      </c>
      <c r="H106" s="7"/>
      <c r="I106" s="7"/>
    </row>
    <row r="107" spans="4:11" ht="12.75" customHeight="1">
      <c r="D107" s="121" t="s">
        <v>646</v>
      </c>
      <c r="E107" s="122" t="s">
        <v>647</v>
      </c>
      <c r="F107" s="123">
        <v>0</v>
      </c>
      <c r="G107" s="299"/>
      <c r="H107" s="7"/>
      <c r="I107" s="7"/>
    </row>
    <row r="108" spans="4:11" ht="12.75" customHeight="1">
      <c r="D108" s="121" t="s">
        <v>646</v>
      </c>
      <c r="E108" s="122" t="s">
        <v>647</v>
      </c>
      <c r="F108" s="123">
        <v>0</v>
      </c>
      <c r="G108" s="299"/>
      <c r="H108" s="7"/>
      <c r="I108" s="7"/>
    </row>
    <row r="109" spans="4:11" ht="12.75" customHeight="1" thickBot="1">
      <c r="D109" s="323" t="s">
        <v>114</v>
      </c>
      <c r="E109" s="324"/>
      <c r="F109" s="47">
        <f>+F107+F108</f>
        <v>0</v>
      </c>
      <c r="G109" s="299"/>
      <c r="H109" s="7"/>
      <c r="I109" s="7"/>
    </row>
    <row r="110" spans="4:11">
      <c r="D110" s="7"/>
      <c r="E110" s="7"/>
      <c r="F110" s="7"/>
      <c r="G110" s="7"/>
      <c r="H110" s="7"/>
      <c r="I110" s="7"/>
    </row>
    <row r="111" spans="4:11" ht="16" thickBot="1">
      <c r="D111" s="7"/>
      <c r="E111" s="7"/>
      <c r="F111" s="7"/>
      <c r="G111" s="7"/>
      <c r="H111" s="7"/>
      <c r="I111" s="7"/>
    </row>
    <row r="112" spans="4:11" ht="20.5" thickBot="1">
      <c r="D112" s="309" t="s">
        <v>115</v>
      </c>
      <c r="E112" s="310" t="s">
        <v>1</v>
      </c>
      <c r="F112" s="2"/>
      <c r="G112" s="2"/>
      <c r="H112" s="16"/>
      <c r="I112" s="7"/>
      <c r="K112" s="17"/>
    </row>
    <row r="113" spans="4:12" ht="16" thickBot="1">
      <c r="D113" s="311" t="s">
        <v>580</v>
      </c>
      <c r="E113" s="312"/>
      <c r="F113" s="33"/>
      <c r="G113" s="33"/>
      <c r="H113" s="7"/>
      <c r="I113" s="7"/>
    </row>
    <row r="114" spans="4:12" ht="16" thickBot="1">
      <c r="D114" s="296" t="s">
        <v>116</v>
      </c>
      <c r="E114" s="297"/>
      <c r="F114" s="298"/>
      <c r="G114" s="2"/>
      <c r="H114" s="7"/>
      <c r="I114" s="7"/>
    </row>
    <row r="115" spans="4:12">
      <c r="D115" s="49" t="s">
        <v>582</v>
      </c>
      <c r="E115" s="356" t="s">
        <v>581</v>
      </c>
      <c r="F115" s="54">
        <f>+M325</f>
        <v>125558</v>
      </c>
      <c r="G115" s="69" t="s">
        <v>117</v>
      </c>
      <c r="H115" s="69" t="s">
        <v>119</v>
      </c>
      <c r="I115" s="7"/>
    </row>
    <row r="116" spans="4:12" ht="31">
      <c r="D116" s="20" t="s">
        <v>583</v>
      </c>
      <c r="E116" s="357"/>
      <c r="F116" s="41">
        <v>0</v>
      </c>
      <c r="G116" s="69" t="s">
        <v>120</v>
      </c>
      <c r="H116" s="69" t="s">
        <v>121</v>
      </c>
      <c r="I116" s="7"/>
    </row>
    <row r="117" spans="4:12">
      <c r="D117" s="20" t="s">
        <v>584</v>
      </c>
      <c r="E117" s="357"/>
      <c r="F117" s="41">
        <v>0</v>
      </c>
      <c r="G117" s="69" t="s">
        <v>122</v>
      </c>
      <c r="H117" s="69" t="s">
        <v>123</v>
      </c>
      <c r="I117" s="7"/>
    </row>
    <row r="118" spans="4:12" ht="16" thickBot="1">
      <c r="D118" s="22" t="s">
        <v>585</v>
      </c>
      <c r="E118" s="358"/>
      <c r="F118" s="53">
        <f>F115-F116+F117</f>
        <v>125558</v>
      </c>
      <c r="G118" s="69" t="s">
        <v>124</v>
      </c>
      <c r="H118" s="69" t="s">
        <v>125</v>
      </c>
      <c r="I118" s="7"/>
    </row>
    <row r="119" spans="4:12" ht="16" thickBot="1">
      <c r="D119" s="313" t="s">
        <v>586</v>
      </c>
      <c r="E119" s="314"/>
      <c r="F119" s="80">
        <f>+E144</f>
        <v>0</v>
      </c>
      <c r="G119" s="69" t="s">
        <v>126</v>
      </c>
      <c r="H119" s="69" t="s">
        <v>127</v>
      </c>
      <c r="I119" s="7"/>
    </row>
    <row r="120" spans="4:12">
      <c r="D120" s="50" t="s">
        <v>587</v>
      </c>
      <c r="E120" s="317" t="s">
        <v>591</v>
      </c>
      <c r="F120" s="54">
        <f>+F119+F118</f>
        <v>125558</v>
      </c>
      <c r="G120" s="69" t="s">
        <v>128</v>
      </c>
      <c r="H120" s="69" t="s">
        <v>129</v>
      </c>
      <c r="I120" s="7"/>
    </row>
    <row r="121" spans="4:12">
      <c r="D121" s="20" t="s">
        <v>588</v>
      </c>
      <c r="E121" s="318"/>
      <c r="F121" s="52">
        <f>+M344</f>
        <v>0</v>
      </c>
      <c r="G121" s="69" t="s">
        <v>130</v>
      </c>
      <c r="H121" s="69" t="s">
        <v>131</v>
      </c>
      <c r="I121" s="7"/>
      <c r="K121" s="34"/>
    </row>
    <row r="122" spans="4:12" ht="31.5" thickBot="1">
      <c r="D122" s="22" t="s">
        <v>589</v>
      </c>
      <c r="E122" s="319"/>
      <c r="F122" s="52">
        <f>+M345</f>
        <v>0</v>
      </c>
      <c r="G122" s="69" t="s">
        <v>132</v>
      </c>
      <c r="H122" s="69" t="s">
        <v>133</v>
      </c>
      <c r="I122" s="7"/>
      <c r="K122" s="34"/>
    </row>
    <row r="123" spans="4:12" ht="16" thickBot="1">
      <c r="D123" s="315" t="s">
        <v>590</v>
      </c>
      <c r="E123" s="316"/>
      <c r="F123" s="81">
        <f>+F120+F121-F122</f>
        <v>125558</v>
      </c>
      <c r="G123" s="69" t="s">
        <v>134</v>
      </c>
      <c r="H123" s="69" t="s">
        <v>135</v>
      </c>
      <c r="I123" s="7"/>
      <c r="K123" s="82"/>
      <c r="L123" s="83"/>
    </row>
    <row r="124" spans="4:12">
      <c r="D124" s="2"/>
      <c r="E124" s="2"/>
      <c r="F124" s="2"/>
      <c r="G124" s="2"/>
      <c r="H124" s="7"/>
      <c r="I124" s="7"/>
      <c r="K124" s="84"/>
      <c r="L124" s="84"/>
    </row>
    <row r="125" spans="4:12" ht="16" thickBot="1">
      <c r="D125" s="2"/>
      <c r="E125" s="2"/>
      <c r="F125" s="2"/>
      <c r="G125" s="2"/>
      <c r="H125" s="7"/>
      <c r="I125" s="7"/>
    </row>
    <row r="126" spans="4:12">
      <c r="D126" s="311" t="s">
        <v>136</v>
      </c>
      <c r="E126" s="312"/>
      <c r="F126" s="2"/>
      <c r="G126" s="2"/>
      <c r="H126" s="56"/>
      <c r="I126" s="56"/>
    </row>
    <row r="127" spans="4:12">
      <c r="D127" s="55" t="s">
        <v>139</v>
      </c>
      <c r="E127" s="76" t="s">
        <v>140</v>
      </c>
      <c r="F127" s="69" t="s">
        <v>137</v>
      </c>
      <c r="G127" s="69" t="s">
        <v>138</v>
      </c>
      <c r="H127" s="56"/>
      <c r="I127" s="56"/>
    </row>
    <row r="128" spans="4:12">
      <c r="D128" s="55" t="s">
        <v>592</v>
      </c>
      <c r="E128" s="28">
        <f>+M327</f>
        <v>0</v>
      </c>
      <c r="F128" s="69" t="s">
        <v>141</v>
      </c>
      <c r="G128" s="69" t="s">
        <v>609</v>
      </c>
      <c r="H128" s="71"/>
    </row>
    <row r="129" spans="4:14">
      <c r="D129" s="55" t="s">
        <v>604</v>
      </c>
      <c r="E129" s="28">
        <f t="shared" ref="E129:E143" si="2">+M328</f>
        <v>0</v>
      </c>
      <c r="F129" s="69" t="s">
        <v>142</v>
      </c>
      <c r="G129" s="69" t="s">
        <v>610</v>
      </c>
      <c r="H129" s="71"/>
      <c r="I129" s="9"/>
    </row>
    <row r="130" spans="4:14">
      <c r="D130" s="55" t="s">
        <v>605</v>
      </c>
      <c r="E130" s="28">
        <f t="shared" si="2"/>
        <v>0</v>
      </c>
      <c r="F130" s="69" t="s">
        <v>143</v>
      </c>
      <c r="G130" s="69" t="s">
        <v>611</v>
      </c>
      <c r="H130" s="71"/>
      <c r="I130" s="85"/>
      <c r="J130" s="85"/>
    </row>
    <row r="131" spans="4:14">
      <c r="D131" s="55" t="s">
        <v>593</v>
      </c>
      <c r="E131" s="28">
        <f t="shared" si="2"/>
        <v>0</v>
      </c>
      <c r="F131" s="69" t="s">
        <v>144</v>
      </c>
      <c r="G131" s="69" t="s">
        <v>612</v>
      </c>
      <c r="H131" s="56"/>
      <c r="I131" s="56"/>
      <c r="J131" s="56"/>
      <c r="K131" s="56"/>
      <c r="L131" s="56"/>
      <c r="M131" s="56"/>
      <c r="N131" s="56"/>
    </row>
    <row r="132" spans="4:14">
      <c r="D132" s="55" t="s">
        <v>594</v>
      </c>
      <c r="E132" s="28">
        <f t="shared" si="2"/>
        <v>0</v>
      </c>
      <c r="F132" s="69" t="s">
        <v>145</v>
      </c>
      <c r="G132" s="69" t="s">
        <v>613</v>
      </c>
      <c r="H132" s="86"/>
      <c r="I132" s="56"/>
      <c r="J132" s="56"/>
      <c r="K132" s="56"/>
      <c r="L132" s="56"/>
      <c r="M132" s="56"/>
      <c r="N132" s="56"/>
    </row>
    <row r="133" spans="4:14">
      <c r="D133" s="55" t="s">
        <v>595</v>
      </c>
      <c r="E133" s="28">
        <f t="shared" si="2"/>
        <v>0</v>
      </c>
      <c r="F133" s="69" t="s">
        <v>146</v>
      </c>
      <c r="G133" s="69" t="s">
        <v>147</v>
      </c>
      <c r="H133" s="56"/>
      <c r="I133" s="56"/>
      <c r="J133" s="56"/>
      <c r="K133" s="56"/>
      <c r="L133" s="56"/>
      <c r="M133" s="56"/>
      <c r="N133" s="56"/>
    </row>
    <row r="134" spans="4:14">
      <c r="D134" s="55" t="s">
        <v>596</v>
      </c>
      <c r="E134" s="28">
        <f t="shared" si="2"/>
        <v>0</v>
      </c>
      <c r="F134" s="69" t="s">
        <v>148</v>
      </c>
      <c r="G134" s="69" t="s">
        <v>149</v>
      </c>
      <c r="H134" s="56"/>
      <c r="I134" s="56"/>
      <c r="J134" s="56"/>
      <c r="K134" s="56"/>
      <c r="L134" s="56"/>
      <c r="M134" s="56"/>
      <c r="N134" s="56"/>
    </row>
    <row r="135" spans="4:14">
      <c r="D135" s="55" t="s">
        <v>597</v>
      </c>
      <c r="E135" s="28">
        <f t="shared" si="2"/>
        <v>0</v>
      </c>
      <c r="F135" s="69" t="s">
        <v>150</v>
      </c>
      <c r="G135" s="69" t="s">
        <v>615</v>
      </c>
      <c r="H135" s="56"/>
      <c r="I135" s="56"/>
      <c r="J135" s="56"/>
      <c r="K135" s="56"/>
      <c r="L135" s="56"/>
      <c r="M135" s="56"/>
      <c r="N135" s="56"/>
    </row>
    <row r="136" spans="4:14">
      <c r="D136" s="55" t="s">
        <v>598</v>
      </c>
      <c r="E136" s="28">
        <f t="shared" si="2"/>
        <v>0</v>
      </c>
      <c r="F136" s="69" t="s">
        <v>151</v>
      </c>
      <c r="G136" s="69" t="s">
        <v>616</v>
      </c>
      <c r="H136" s="87"/>
      <c r="I136" s="56"/>
      <c r="J136" s="56"/>
      <c r="K136" s="56"/>
      <c r="L136" s="7"/>
      <c r="M136" s="7"/>
      <c r="N136" s="7"/>
    </row>
    <row r="137" spans="4:14">
      <c r="D137" s="55" t="s">
        <v>599</v>
      </c>
      <c r="E137" s="28">
        <f t="shared" si="2"/>
        <v>0</v>
      </c>
      <c r="F137" s="69" t="s">
        <v>152</v>
      </c>
      <c r="G137" s="69" t="s">
        <v>617</v>
      </c>
      <c r="H137" s="56"/>
      <c r="I137" s="56"/>
      <c r="J137" s="56"/>
      <c r="K137" s="56"/>
      <c r="L137" s="7"/>
      <c r="M137" s="7"/>
      <c r="N137" s="7"/>
    </row>
    <row r="138" spans="4:14">
      <c r="D138" s="55" t="s">
        <v>606</v>
      </c>
      <c r="E138" s="28">
        <f t="shared" si="2"/>
        <v>0</v>
      </c>
      <c r="F138" s="69" t="s">
        <v>153</v>
      </c>
      <c r="G138" s="69" t="s">
        <v>618</v>
      </c>
      <c r="H138" s="35"/>
      <c r="I138" s="88"/>
      <c r="J138" s="7"/>
      <c r="K138" s="7"/>
      <c r="L138" s="7"/>
      <c r="M138" s="7"/>
      <c r="N138" s="7"/>
    </row>
    <row r="139" spans="4:14">
      <c r="D139" s="55" t="s">
        <v>607</v>
      </c>
      <c r="E139" s="28">
        <f t="shared" si="2"/>
        <v>0</v>
      </c>
      <c r="F139" s="69" t="s">
        <v>154</v>
      </c>
      <c r="G139" s="69" t="s">
        <v>619</v>
      </c>
      <c r="H139" s="35"/>
      <c r="I139" s="7"/>
      <c r="J139" s="7"/>
      <c r="K139" s="7"/>
      <c r="L139" s="7"/>
      <c r="M139" s="7"/>
      <c r="N139" s="7"/>
    </row>
    <row r="140" spans="4:14">
      <c r="D140" s="55" t="s">
        <v>600</v>
      </c>
      <c r="E140" s="28">
        <f t="shared" si="2"/>
        <v>0</v>
      </c>
      <c r="F140" s="69" t="s">
        <v>155</v>
      </c>
      <c r="G140" s="69" t="s">
        <v>620</v>
      </c>
      <c r="H140" s="36"/>
      <c r="I140" s="7"/>
      <c r="J140" s="7"/>
      <c r="K140" s="7"/>
      <c r="L140" s="7"/>
      <c r="M140" s="7"/>
      <c r="N140" s="7"/>
    </row>
    <row r="141" spans="4:14">
      <c r="D141" s="55" t="s">
        <v>601</v>
      </c>
      <c r="E141" s="28">
        <f t="shared" si="2"/>
        <v>0</v>
      </c>
      <c r="F141" s="69" t="s">
        <v>156</v>
      </c>
      <c r="G141" s="69" t="s">
        <v>614</v>
      </c>
      <c r="H141" s="89"/>
      <c r="I141" s="7"/>
      <c r="J141" s="7"/>
      <c r="K141" s="7"/>
      <c r="L141" s="7"/>
      <c r="M141" s="7"/>
      <c r="N141" s="7"/>
    </row>
    <row r="142" spans="4:14">
      <c r="D142" s="55" t="s">
        <v>602</v>
      </c>
      <c r="E142" s="28">
        <f t="shared" si="2"/>
        <v>0</v>
      </c>
      <c r="F142" s="69" t="s">
        <v>157</v>
      </c>
      <c r="G142" s="69" t="s">
        <v>621</v>
      </c>
      <c r="H142" s="89"/>
      <c r="I142" s="7"/>
      <c r="J142" s="7"/>
      <c r="K142" s="7"/>
      <c r="L142" s="7"/>
      <c r="M142" s="7"/>
      <c r="N142" s="7"/>
    </row>
    <row r="143" spans="4:14">
      <c r="D143" s="55" t="s">
        <v>603</v>
      </c>
      <c r="E143" s="28">
        <f t="shared" si="2"/>
        <v>0</v>
      </c>
      <c r="F143" s="69" t="s">
        <v>159</v>
      </c>
      <c r="G143" s="69" t="s">
        <v>158</v>
      </c>
      <c r="H143" s="71"/>
      <c r="I143" s="7"/>
      <c r="J143" s="7"/>
      <c r="K143" s="7"/>
      <c r="L143" s="7"/>
      <c r="M143" s="7"/>
      <c r="N143" s="7"/>
    </row>
    <row r="144" spans="4:14" ht="16" thickBot="1">
      <c r="D144" s="39" t="s">
        <v>608</v>
      </c>
      <c r="E144" s="90">
        <f>SUM(E128:E143)</f>
        <v>0</v>
      </c>
      <c r="F144" s="69" t="s">
        <v>126</v>
      </c>
      <c r="G144" s="69" t="s">
        <v>160</v>
      </c>
      <c r="I144" s="7"/>
      <c r="J144" s="7"/>
      <c r="K144" s="91"/>
      <c r="L144" s="83"/>
      <c r="M144" s="7"/>
      <c r="N144" s="7"/>
    </row>
    <row r="145" spans="4:14">
      <c r="D145" s="4"/>
      <c r="E145" s="4"/>
      <c r="F145" s="4"/>
      <c r="G145" s="7"/>
      <c r="H145" s="7"/>
      <c r="I145" s="7"/>
      <c r="J145" s="7"/>
      <c r="K145" s="7"/>
      <c r="L145" s="7"/>
      <c r="M145" s="7"/>
      <c r="N145" s="7"/>
    </row>
    <row r="146" spans="4:14" ht="16" thickBot="1">
      <c r="D146" s="4"/>
      <c r="E146" s="4"/>
      <c r="F146" s="4"/>
      <c r="G146" s="7"/>
      <c r="H146" s="7"/>
      <c r="I146" s="7"/>
      <c r="J146" s="7"/>
      <c r="K146" s="7"/>
      <c r="L146" s="7"/>
      <c r="M146" s="7"/>
      <c r="N146" s="7"/>
    </row>
    <row r="147" spans="4:14" ht="16" thickBot="1">
      <c r="D147" s="296" t="s">
        <v>161</v>
      </c>
      <c r="E147" s="360" t="s">
        <v>102</v>
      </c>
      <c r="F147" s="312"/>
      <c r="G147" s="7"/>
      <c r="H147" s="343" t="s">
        <v>162</v>
      </c>
      <c r="I147" s="343"/>
      <c r="J147" s="343"/>
      <c r="K147" s="343"/>
      <c r="L147" s="343"/>
      <c r="M147" s="343"/>
      <c r="N147" s="7"/>
    </row>
    <row r="148" spans="4:14" ht="31">
      <c r="D148" s="93"/>
      <c r="E148" s="1" t="s">
        <v>622</v>
      </c>
      <c r="F148" s="46" t="s">
        <v>623</v>
      </c>
      <c r="G148" s="359" t="s">
        <v>163</v>
      </c>
      <c r="H148" s="343"/>
      <c r="I148" s="343"/>
      <c r="J148" s="343"/>
      <c r="K148" s="343"/>
      <c r="L148" s="343"/>
      <c r="M148" s="343"/>
      <c r="N148" s="7"/>
    </row>
    <row r="149" spans="4:14">
      <c r="D149" s="43" t="s">
        <v>164</v>
      </c>
      <c r="E149" s="42">
        <v>0</v>
      </c>
      <c r="F149" s="41">
        <v>0</v>
      </c>
      <c r="G149" s="359"/>
      <c r="H149" s="343"/>
      <c r="I149" s="343"/>
      <c r="J149" s="343"/>
      <c r="K149" s="343"/>
      <c r="L149" s="343"/>
      <c r="M149" s="343"/>
      <c r="N149" s="7"/>
    </row>
    <row r="150" spans="4:14">
      <c r="D150" s="43" t="s">
        <v>165</v>
      </c>
      <c r="E150" s="42">
        <v>0</v>
      </c>
      <c r="F150" s="41">
        <v>0</v>
      </c>
      <c r="G150" s="359"/>
      <c r="H150" s="343"/>
      <c r="I150" s="343"/>
      <c r="J150" s="343"/>
      <c r="K150" s="343"/>
      <c r="L150" s="343"/>
      <c r="M150" s="343"/>
      <c r="N150" s="7"/>
    </row>
    <row r="151" spans="4:14" ht="32" customHeight="1" thickBot="1">
      <c r="D151" s="44" t="s">
        <v>166</v>
      </c>
      <c r="E151" s="94">
        <f>+E149+E150</f>
        <v>0</v>
      </c>
      <c r="F151" s="95">
        <f>+F149+F150</f>
        <v>0</v>
      </c>
      <c r="G151" s="359"/>
      <c r="H151" s="343"/>
      <c r="I151" s="343"/>
      <c r="J151" s="343"/>
      <c r="K151" s="343"/>
      <c r="L151" s="343"/>
      <c r="M151" s="343"/>
      <c r="N151" s="7"/>
    </row>
    <row r="152" spans="4:14">
      <c r="D152" s="5"/>
      <c r="E152" s="5"/>
      <c r="F152" s="5"/>
      <c r="G152" s="7"/>
      <c r="H152" s="7"/>
      <c r="I152" s="7"/>
      <c r="J152" s="7"/>
      <c r="K152" s="56"/>
      <c r="L152" s="56"/>
      <c r="M152" s="56"/>
      <c r="N152" s="56"/>
    </row>
    <row r="153" spans="4:14" ht="16" thickBot="1">
      <c r="D153" s="5"/>
      <c r="E153" s="5"/>
      <c r="F153" s="5"/>
      <c r="G153" s="7"/>
      <c r="H153" s="7"/>
      <c r="I153" s="7"/>
      <c r="J153" s="7"/>
      <c r="K153" s="56"/>
      <c r="L153" s="56"/>
      <c r="M153" s="56"/>
      <c r="N153" s="56"/>
    </row>
    <row r="154" spans="4:14" ht="16" thickBot="1">
      <c r="D154" s="311" t="s">
        <v>167</v>
      </c>
      <c r="E154" s="312" t="s">
        <v>102</v>
      </c>
      <c r="F154" s="56"/>
      <c r="G154" s="7"/>
      <c r="H154" s="7"/>
      <c r="I154" s="7"/>
      <c r="J154" s="7"/>
      <c r="K154" s="56"/>
      <c r="L154" s="56"/>
      <c r="M154" s="56"/>
      <c r="N154" s="56"/>
    </row>
    <row r="155" spans="4:14">
      <c r="D155" s="311" t="s">
        <v>168</v>
      </c>
      <c r="E155" s="312"/>
      <c r="F155" s="56"/>
      <c r="G155" s="56"/>
      <c r="H155" s="56"/>
      <c r="I155" s="56"/>
      <c r="J155" s="56"/>
      <c r="K155" s="56"/>
      <c r="L155" s="56"/>
      <c r="M155" s="56"/>
      <c r="N155" s="56"/>
    </row>
    <row r="156" spans="4:14">
      <c r="D156" s="96" t="s">
        <v>170</v>
      </c>
      <c r="E156" s="41">
        <v>0</v>
      </c>
      <c r="F156" s="56"/>
      <c r="G156" s="69" t="s">
        <v>169</v>
      </c>
      <c r="H156" s="56"/>
      <c r="I156" s="56"/>
      <c r="J156" s="56"/>
      <c r="K156" s="56"/>
      <c r="L156" s="56"/>
      <c r="M156" s="56"/>
      <c r="N156" s="56"/>
    </row>
    <row r="157" spans="4:14" ht="31">
      <c r="D157" s="97" t="s">
        <v>172</v>
      </c>
      <c r="E157" s="41">
        <v>0</v>
      </c>
      <c r="F157" s="56"/>
      <c r="G157" s="69" t="s">
        <v>171</v>
      </c>
      <c r="H157" s="56"/>
      <c r="I157" s="56"/>
      <c r="J157" s="56"/>
      <c r="K157" s="56"/>
      <c r="L157" s="56"/>
      <c r="M157" s="56"/>
      <c r="N157" s="56"/>
    </row>
    <row r="158" spans="4:14" ht="16" thickBot="1">
      <c r="D158" s="98" t="s">
        <v>174</v>
      </c>
      <c r="E158" s="99">
        <v>0</v>
      </c>
      <c r="F158" s="69" t="s">
        <v>151</v>
      </c>
      <c r="G158" s="69" t="s">
        <v>173</v>
      </c>
      <c r="H158" s="56"/>
      <c r="I158" s="56"/>
      <c r="J158" s="56"/>
      <c r="K158" s="56"/>
      <c r="L158" s="56"/>
      <c r="M158" s="56"/>
      <c r="N158" s="56"/>
    </row>
    <row r="159" spans="4:14" ht="16" thickBot="1">
      <c r="D159" s="56"/>
      <c r="E159" s="56"/>
      <c r="F159" s="56"/>
      <c r="G159" s="56"/>
      <c r="H159" s="56"/>
      <c r="I159" s="56"/>
      <c r="J159" s="56"/>
      <c r="K159" s="56"/>
      <c r="L159" s="56"/>
      <c r="M159" s="56"/>
      <c r="N159" s="56"/>
    </row>
    <row r="160" spans="4:14" ht="16" thickBot="1">
      <c r="D160" s="296" t="s">
        <v>175</v>
      </c>
      <c r="E160" s="297"/>
      <c r="F160" s="298"/>
      <c r="G160" s="56"/>
      <c r="H160" s="56"/>
      <c r="I160" s="56"/>
      <c r="J160" s="56"/>
      <c r="K160" s="56"/>
      <c r="L160" s="56"/>
      <c r="M160" s="56"/>
      <c r="N160" s="56"/>
    </row>
    <row r="161" spans="1:14">
      <c r="A161" s="258"/>
      <c r="D161" s="103"/>
      <c r="E161" s="104" t="s">
        <v>177</v>
      </c>
      <c r="F161" s="105" t="s">
        <v>178</v>
      </c>
      <c r="G161" s="69" t="s">
        <v>176</v>
      </c>
      <c r="H161" s="56"/>
      <c r="I161" s="56"/>
      <c r="J161" s="56"/>
      <c r="K161" s="56"/>
      <c r="L161" s="56"/>
      <c r="M161" s="56"/>
      <c r="N161" s="56"/>
    </row>
    <row r="162" spans="1:14">
      <c r="A162" s="259" t="s">
        <v>661</v>
      </c>
      <c r="D162" s="100" t="s">
        <v>180</v>
      </c>
      <c r="E162" s="129" t="s">
        <v>3</v>
      </c>
      <c r="F162" s="130" t="s">
        <v>3</v>
      </c>
      <c r="G162" s="116" t="s">
        <v>179</v>
      </c>
      <c r="H162" s="56"/>
      <c r="I162" s="56"/>
      <c r="J162" s="56"/>
      <c r="K162" s="56"/>
      <c r="L162" s="56"/>
      <c r="M162" s="56"/>
      <c r="N162" s="56"/>
    </row>
    <row r="163" spans="1:14">
      <c r="A163" s="258" t="s">
        <v>3</v>
      </c>
      <c r="D163" s="101" t="s">
        <v>182</v>
      </c>
      <c r="E163" s="129" t="s">
        <v>3</v>
      </c>
      <c r="F163" s="130" t="s">
        <v>3</v>
      </c>
      <c r="G163" s="116" t="s">
        <v>181</v>
      </c>
      <c r="H163" s="56"/>
      <c r="I163" s="56"/>
      <c r="J163" s="56"/>
      <c r="K163" s="56"/>
      <c r="L163" s="56"/>
      <c r="M163" s="56"/>
      <c r="N163" s="56"/>
    </row>
    <row r="164" spans="1:14" ht="16" thickBot="1">
      <c r="A164" s="258"/>
      <c r="D164" s="102" t="s">
        <v>184</v>
      </c>
      <c r="E164" s="131" t="s">
        <v>3</v>
      </c>
      <c r="F164" s="132" t="s">
        <v>3</v>
      </c>
      <c r="G164" s="116" t="s">
        <v>183</v>
      </c>
      <c r="H164" s="56"/>
      <c r="I164" s="56"/>
      <c r="J164" s="56"/>
      <c r="K164" s="56"/>
      <c r="L164" s="56"/>
      <c r="M164" s="56"/>
      <c r="N164" s="56"/>
    </row>
    <row r="165" spans="1:14" ht="16" thickBot="1">
      <c r="A165" s="258"/>
      <c r="D165" s="6"/>
      <c r="E165" s="56"/>
      <c r="F165" s="56"/>
      <c r="G165" s="56"/>
      <c r="H165" s="56"/>
      <c r="I165" s="56"/>
      <c r="J165" s="56"/>
      <c r="K165" s="56"/>
      <c r="L165" s="56"/>
      <c r="M165" s="7"/>
      <c r="N165" s="7"/>
    </row>
    <row r="166" spans="1:14" ht="16" thickBot="1">
      <c r="B166" s="9"/>
      <c r="D166" s="311" t="s">
        <v>185</v>
      </c>
      <c r="E166" s="312"/>
      <c r="F166" s="56"/>
      <c r="G166" s="56"/>
      <c r="H166" s="56"/>
      <c r="I166" s="56"/>
      <c r="J166" s="56"/>
      <c r="K166" s="56"/>
      <c r="L166" s="56"/>
      <c r="M166" s="7"/>
      <c r="N166" s="7"/>
    </row>
    <row r="167" spans="1:14" ht="16" thickBot="1">
      <c r="B167" s="9"/>
      <c r="D167" s="108" t="s">
        <v>626</v>
      </c>
      <c r="E167" s="109">
        <v>2024</v>
      </c>
      <c r="F167" s="69" t="s">
        <v>186</v>
      </c>
      <c r="G167" s="56"/>
      <c r="H167" s="56"/>
      <c r="I167" s="56"/>
      <c r="J167" s="56"/>
      <c r="K167" s="56"/>
      <c r="L167" s="56"/>
      <c r="M167" s="7"/>
      <c r="N167" s="7"/>
    </row>
    <row r="168" spans="1:14">
      <c r="B168" s="9"/>
      <c r="D168" s="311" t="s">
        <v>624</v>
      </c>
      <c r="E168" s="312"/>
      <c r="F168" s="7"/>
      <c r="G168" s="7"/>
      <c r="H168" s="7"/>
      <c r="I168" s="7"/>
      <c r="J168" s="7"/>
      <c r="K168" s="7"/>
      <c r="L168" s="7"/>
      <c r="M168" s="7"/>
      <c r="N168" s="7"/>
    </row>
    <row r="169" spans="1:14">
      <c r="B169" s="9"/>
      <c r="D169" s="364" t="s">
        <v>187</v>
      </c>
      <c r="E169" s="365"/>
      <c r="F169" s="7"/>
      <c r="G169" s="7"/>
      <c r="H169" s="7"/>
      <c r="I169" s="7"/>
      <c r="J169" s="7"/>
      <c r="K169" s="7"/>
      <c r="L169" s="7"/>
      <c r="M169" s="7"/>
      <c r="N169" s="7"/>
    </row>
    <row r="170" spans="1:14" ht="46.5" customHeight="1">
      <c r="B170" s="9"/>
      <c r="D170" s="43" t="s">
        <v>625</v>
      </c>
      <c r="E170" s="110" t="s">
        <v>189</v>
      </c>
      <c r="F170" s="69" t="s">
        <v>188</v>
      </c>
      <c r="G170" s="7"/>
      <c r="H170" s="7"/>
      <c r="I170" s="7"/>
      <c r="J170" s="7"/>
      <c r="K170" s="7"/>
      <c r="L170" s="7"/>
      <c r="M170" s="7"/>
      <c r="N170" s="7"/>
    </row>
    <row r="171" spans="1:14" ht="16" thickBot="1">
      <c r="B171" s="9"/>
      <c r="D171" s="111">
        <v>0</v>
      </c>
      <c r="E171" s="112">
        <v>0</v>
      </c>
      <c r="F171" s="7"/>
      <c r="G171" s="7"/>
      <c r="H171" s="7"/>
      <c r="I171" s="7"/>
      <c r="J171" s="7"/>
      <c r="K171" s="7"/>
      <c r="L171" s="7"/>
      <c r="M171" s="7"/>
      <c r="N171" s="7"/>
    </row>
    <row r="172" spans="1:14" ht="14" customHeight="1" thickBot="1">
      <c r="B172" s="9"/>
      <c r="C172" s="9"/>
      <c r="D172" s="347" t="s">
        <v>191</v>
      </c>
      <c r="E172" s="348"/>
      <c r="F172" s="348"/>
      <c r="G172" s="349"/>
      <c r="H172" s="7"/>
      <c r="I172" s="7"/>
      <c r="J172" s="7"/>
      <c r="K172" s="7"/>
      <c r="L172" s="7"/>
      <c r="M172" s="7"/>
      <c r="N172" s="7"/>
    </row>
    <row r="173" spans="1:14" ht="46.5">
      <c r="B173" s="9"/>
      <c r="C173" s="9"/>
      <c r="D173" s="113" t="s">
        <v>627</v>
      </c>
      <c r="E173" s="114" t="s">
        <v>628</v>
      </c>
      <c r="F173" s="114" t="s">
        <v>629</v>
      </c>
      <c r="G173" s="115" t="s">
        <v>630</v>
      </c>
      <c r="H173" s="116" t="s">
        <v>190</v>
      </c>
      <c r="I173" s="7"/>
      <c r="J173" s="7"/>
      <c r="K173" s="7"/>
      <c r="L173" s="7"/>
      <c r="M173" s="7"/>
      <c r="N173" s="7"/>
    </row>
    <row r="174" spans="1:14" ht="16" thickBot="1">
      <c r="B174" s="9"/>
      <c r="C174" s="9"/>
      <c r="D174" s="107">
        <v>0</v>
      </c>
      <c r="E174" s="106">
        <v>0</v>
      </c>
      <c r="F174" s="106">
        <v>0</v>
      </c>
      <c r="G174" s="99">
        <v>0</v>
      </c>
      <c r="H174" s="7"/>
      <c r="I174" s="7"/>
      <c r="J174" s="7"/>
      <c r="K174" s="7"/>
      <c r="L174" s="7"/>
      <c r="M174" s="7"/>
      <c r="N174" s="7"/>
    </row>
    <row r="175" spans="1:14" ht="16" thickBot="1">
      <c r="B175" s="9"/>
      <c r="C175" s="9"/>
      <c r="D175" s="7"/>
      <c r="E175" s="7"/>
      <c r="F175" s="7"/>
      <c r="G175" s="7"/>
      <c r="H175" s="7"/>
      <c r="I175" s="7"/>
      <c r="J175" s="7"/>
      <c r="K175" s="7"/>
      <c r="L175" s="7"/>
      <c r="M175" s="7"/>
      <c r="N175" s="7"/>
    </row>
    <row r="176" spans="1:14" ht="15.5" customHeight="1">
      <c r="B176" s="9"/>
      <c r="C176" s="9"/>
      <c r="D176" s="320" t="s">
        <v>193</v>
      </c>
      <c r="E176" s="321"/>
      <c r="F176" s="321"/>
      <c r="G176" s="321"/>
      <c r="H176" s="322"/>
      <c r="I176" s="7"/>
      <c r="J176" s="7"/>
      <c r="K176" s="7"/>
      <c r="L176" s="7"/>
      <c r="M176" s="7"/>
      <c r="N176" s="7"/>
    </row>
    <row r="177" spans="1:17" ht="46.5">
      <c r="B177" s="9"/>
      <c r="C177" s="9"/>
      <c r="D177" s="117" t="s">
        <v>631</v>
      </c>
      <c r="E177" s="48" t="s">
        <v>632</v>
      </c>
      <c r="F177" s="48" t="s">
        <v>633</v>
      </c>
      <c r="G177" s="48" t="s">
        <v>634</v>
      </c>
      <c r="H177" s="118" t="s">
        <v>635</v>
      </c>
      <c r="I177" s="116" t="s">
        <v>192</v>
      </c>
      <c r="J177" s="343" t="s">
        <v>194</v>
      </c>
      <c r="K177" s="343"/>
      <c r="L177" s="343"/>
      <c r="M177" s="343"/>
      <c r="N177" s="343"/>
    </row>
    <row r="178" spans="1:17">
      <c r="A178" s="84" t="s">
        <v>645</v>
      </c>
      <c r="B178" s="9"/>
      <c r="C178" s="9"/>
      <c r="D178" s="119" t="s">
        <v>3</v>
      </c>
      <c r="E178" s="42">
        <v>0</v>
      </c>
      <c r="F178" s="42">
        <v>0</v>
      </c>
      <c r="G178" s="42">
        <v>0</v>
      </c>
      <c r="H178" s="41">
        <v>0</v>
      </c>
      <c r="I178" s="7"/>
      <c r="J178" s="343"/>
      <c r="K178" s="343"/>
      <c r="L178" s="343"/>
      <c r="M178" s="343"/>
      <c r="N178" s="343"/>
    </row>
    <row r="179" spans="1:17" ht="16" thickBot="1">
      <c r="A179" s="84" t="s">
        <v>3</v>
      </c>
      <c r="B179" s="9"/>
      <c r="C179" s="9"/>
      <c r="D179" s="107" t="s">
        <v>3</v>
      </c>
      <c r="E179" s="106">
        <v>0</v>
      </c>
      <c r="F179" s="106">
        <v>0</v>
      </c>
      <c r="G179" s="106">
        <v>0</v>
      </c>
      <c r="H179" s="99">
        <v>0</v>
      </c>
      <c r="I179" s="7"/>
      <c r="J179" s="343"/>
      <c r="K179" s="343"/>
      <c r="L179" s="343"/>
      <c r="M179" s="343"/>
      <c r="N179" s="343"/>
    </row>
    <row r="180" spans="1:17">
      <c r="C180" s="9"/>
      <c r="I180" s="7"/>
      <c r="J180" s="7"/>
      <c r="K180" s="7"/>
      <c r="L180" s="7"/>
      <c r="M180" s="7"/>
      <c r="N180" s="7"/>
    </row>
    <row r="181" spans="1:17" ht="16" thickBot="1">
      <c r="I181" s="7"/>
      <c r="J181" s="7"/>
      <c r="K181" s="7"/>
      <c r="L181" s="7"/>
      <c r="M181" s="7"/>
      <c r="N181" s="7"/>
    </row>
    <row r="182" spans="1:17" ht="20.5" thickBot="1">
      <c r="D182" s="309" t="s">
        <v>195</v>
      </c>
      <c r="E182" s="310" t="s">
        <v>1</v>
      </c>
      <c r="F182" s="10"/>
      <c r="G182" s="10"/>
      <c r="H182" s="10"/>
      <c r="I182" s="10"/>
      <c r="J182" s="10"/>
      <c r="K182" s="17"/>
      <c r="L182" s="10"/>
      <c r="M182" s="7"/>
      <c r="N182" s="7"/>
    </row>
    <row r="183" spans="1:17" ht="16" thickBot="1">
      <c r="D183" s="311" t="s">
        <v>636</v>
      </c>
      <c r="E183" s="312"/>
      <c r="F183" s="5"/>
      <c r="G183" s="5"/>
      <c r="H183" s="5"/>
      <c r="I183" s="5"/>
      <c r="J183" s="5"/>
      <c r="K183" s="5"/>
      <c r="L183" s="5"/>
      <c r="M183" s="7"/>
      <c r="N183" s="7"/>
    </row>
    <row r="184" spans="1:17">
      <c r="D184" s="320" t="s">
        <v>196</v>
      </c>
      <c r="E184" s="322"/>
      <c r="F184" s="7"/>
      <c r="G184" s="7"/>
      <c r="H184" s="7"/>
      <c r="I184" s="7"/>
      <c r="J184" s="7"/>
      <c r="K184" s="7"/>
      <c r="L184" s="10"/>
      <c r="M184" s="7"/>
      <c r="N184" s="7"/>
    </row>
    <row r="185" spans="1:17">
      <c r="D185" s="24" t="s">
        <v>637</v>
      </c>
      <c r="E185" s="110"/>
      <c r="F185" s="69" t="s">
        <v>197</v>
      </c>
      <c r="G185" s="7"/>
      <c r="H185" s="7"/>
      <c r="I185" s="7"/>
      <c r="J185" s="7"/>
      <c r="K185" s="7"/>
      <c r="L185" s="9"/>
    </row>
    <row r="186" spans="1:17" ht="33.5" customHeight="1">
      <c r="A186" s="84" t="s">
        <v>648</v>
      </c>
      <c r="D186" s="120" t="s">
        <v>641</v>
      </c>
      <c r="E186" s="41" t="s">
        <v>650</v>
      </c>
      <c r="F186" s="69" t="s">
        <v>638</v>
      </c>
      <c r="G186" s="350" t="s">
        <v>198</v>
      </c>
      <c r="H186" s="351"/>
      <c r="I186" s="351"/>
      <c r="J186" s="351"/>
      <c r="K186" s="351"/>
      <c r="L186" s="351"/>
      <c r="M186" s="351"/>
      <c r="N186" s="351"/>
      <c r="O186" s="351"/>
      <c r="P186" s="351"/>
      <c r="Q186" s="352"/>
    </row>
    <row r="187" spans="1:17" ht="29" customHeight="1">
      <c r="A187" s="84" t="s">
        <v>649</v>
      </c>
      <c r="D187" s="120" t="s">
        <v>642</v>
      </c>
      <c r="E187" s="41" t="s">
        <v>650</v>
      </c>
      <c r="F187" s="69" t="s">
        <v>639</v>
      </c>
      <c r="G187" s="343" t="s">
        <v>199</v>
      </c>
      <c r="H187" s="343"/>
      <c r="I187" s="343"/>
      <c r="J187" s="343"/>
      <c r="K187" s="343"/>
      <c r="L187" s="343"/>
      <c r="M187" s="343"/>
      <c r="N187" s="343"/>
      <c r="O187" s="343"/>
      <c r="P187" s="343"/>
      <c r="Q187" s="343"/>
    </row>
    <row r="188" spans="1:17">
      <c r="A188" s="84" t="s">
        <v>650</v>
      </c>
      <c r="D188" s="120" t="s">
        <v>643</v>
      </c>
      <c r="E188" s="41" t="s">
        <v>650</v>
      </c>
      <c r="F188" s="69" t="s">
        <v>200</v>
      </c>
      <c r="G188" s="344" t="s">
        <v>201</v>
      </c>
      <c r="H188" s="345"/>
      <c r="I188" s="345"/>
      <c r="J188" s="345"/>
      <c r="K188" s="345"/>
      <c r="L188" s="345"/>
      <c r="M188" s="345"/>
      <c r="N188" s="345"/>
      <c r="O188" s="345"/>
      <c r="P188" s="345"/>
      <c r="Q188" s="346"/>
    </row>
    <row r="189" spans="1:17" ht="31" customHeight="1" thickBot="1">
      <c r="D189" s="125" t="s">
        <v>644</v>
      </c>
      <c r="E189" s="112" t="s">
        <v>650</v>
      </c>
      <c r="F189" s="69" t="s">
        <v>640</v>
      </c>
      <c r="G189" s="343" t="s">
        <v>202</v>
      </c>
      <c r="H189" s="343"/>
      <c r="I189" s="343"/>
      <c r="J189" s="343"/>
      <c r="K189" s="343"/>
      <c r="L189" s="343"/>
      <c r="M189" s="343"/>
      <c r="N189" s="343"/>
      <c r="O189" s="343"/>
      <c r="P189" s="343"/>
      <c r="Q189" s="343"/>
    </row>
    <row r="190" spans="1:17" ht="15.5" customHeight="1">
      <c r="D190" s="126" t="s">
        <v>204</v>
      </c>
      <c r="E190" s="127" t="s">
        <v>205</v>
      </c>
      <c r="F190" s="128" t="s">
        <v>206</v>
      </c>
      <c r="G190" s="299" t="s">
        <v>203</v>
      </c>
      <c r="H190" s="7"/>
      <c r="I190" s="7"/>
      <c r="J190" s="7"/>
      <c r="K190" s="7"/>
      <c r="L190" s="7"/>
    </row>
    <row r="191" spans="1:17" ht="68" customHeight="1">
      <c r="D191" s="43" t="s">
        <v>653</v>
      </c>
      <c r="E191" s="129" t="s">
        <v>3</v>
      </c>
      <c r="F191" s="130" t="s">
        <v>3</v>
      </c>
      <c r="G191" s="299"/>
      <c r="H191" s="292" t="s">
        <v>207</v>
      </c>
      <c r="I191" s="292"/>
      <c r="J191" s="292"/>
      <c r="K191" s="292"/>
      <c r="L191" s="292"/>
      <c r="M191" s="292"/>
      <c r="N191" s="292"/>
      <c r="O191" s="292"/>
      <c r="P191" s="292"/>
      <c r="Q191" s="292"/>
    </row>
    <row r="192" spans="1:17" ht="30" customHeight="1">
      <c r="D192" s="43" t="s">
        <v>654</v>
      </c>
      <c r="E192" s="129" t="s">
        <v>3</v>
      </c>
      <c r="F192" s="130" t="s">
        <v>3</v>
      </c>
      <c r="G192" s="299"/>
      <c r="H192" s="292" t="s">
        <v>208</v>
      </c>
      <c r="I192" s="292"/>
      <c r="J192" s="292"/>
      <c r="K192" s="292"/>
      <c r="L192" s="292"/>
      <c r="M192" s="292"/>
      <c r="N192" s="292"/>
      <c r="O192" s="292"/>
      <c r="P192" s="292"/>
      <c r="Q192" s="292"/>
    </row>
    <row r="193" spans="1:17" ht="30" customHeight="1">
      <c r="D193" s="43" t="s">
        <v>655</v>
      </c>
      <c r="E193" s="129" t="s">
        <v>3</v>
      </c>
      <c r="F193" s="130" t="s">
        <v>3</v>
      </c>
      <c r="G193" s="299"/>
      <c r="H193" s="292" t="s">
        <v>209</v>
      </c>
      <c r="I193" s="292"/>
      <c r="J193" s="292"/>
      <c r="K193" s="292"/>
      <c r="L193" s="292"/>
      <c r="M193" s="292"/>
      <c r="N193" s="292"/>
      <c r="O193" s="292"/>
      <c r="P193" s="292"/>
      <c r="Q193" s="292"/>
    </row>
    <row r="194" spans="1:17" ht="31" customHeight="1">
      <c r="D194" s="43" t="s">
        <v>656</v>
      </c>
      <c r="E194" s="129" t="s">
        <v>3</v>
      </c>
      <c r="F194" s="130" t="s">
        <v>3</v>
      </c>
      <c r="G194" s="299"/>
      <c r="H194" s="292" t="s">
        <v>210</v>
      </c>
      <c r="I194" s="292"/>
      <c r="J194" s="292"/>
      <c r="K194" s="292"/>
      <c r="L194" s="292"/>
      <c r="M194" s="292"/>
      <c r="N194" s="292"/>
      <c r="O194" s="292"/>
      <c r="P194" s="292"/>
      <c r="Q194" s="292"/>
    </row>
    <row r="195" spans="1:17" ht="15.75" customHeight="1" thickBot="1">
      <c r="D195" s="44" t="s">
        <v>657</v>
      </c>
      <c r="E195" s="131" t="s">
        <v>3</v>
      </c>
      <c r="F195" s="132" t="s">
        <v>3</v>
      </c>
      <c r="G195" s="299"/>
      <c r="H195" s="89"/>
      <c r="I195" s="7"/>
      <c r="J195" s="7"/>
      <c r="K195" s="7"/>
      <c r="L195" s="7"/>
    </row>
    <row r="196" spans="1:17">
      <c r="D196" s="133" t="s">
        <v>658</v>
      </c>
      <c r="E196" s="134" t="s">
        <v>659</v>
      </c>
      <c r="F196" s="135" t="s">
        <v>660</v>
      </c>
      <c r="G196" s="45" t="s">
        <v>211</v>
      </c>
      <c r="H196" s="7"/>
      <c r="I196" s="7"/>
      <c r="J196" s="7"/>
      <c r="K196" s="7"/>
      <c r="L196" s="9"/>
    </row>
    <row r="197" spans="1:17" ht="47.5" customHeight="1" thickBot="1">
      <c r="D197" s="136" t="s">
        <v>662</v>
      </c>
      <c r="E197" s="131" t="s">
        <v>3</v>
      </c>
      <c r="F197" s="132" t="s">
        <v>3</v>
      </c>
      <c r="G197" s="45" t="s">
        <v>212</v>
      </c>
      <c r="H197" s="292" t="s">
        <v>59</v>
      </c>
      <c r="I197" s="292"/>
      <c r="J197" s="292"/>
      <c r="K197" s="292"/>
      <c r="L197" s="292"/>
      <c r="M197" s="292"/>
      <c r="N197" s="292"/>
      <c r="O197" s="292"/>
      <c r="P197" s="292"/>
      <c r="Q197" s="292"/>
    </row>
    <row r="198" spans="1:17" ht="16" thickBot="1">
      <c r="D198" s="9"/>
      <c r="E198" s="9"/>
      <c r="F198" s="8"/>
      <c r="G198" s="8"/>
      <c r="H198" s="8"/>
      <c r="I198" s="8"/>
      <c r="J198" s="8"/>
      <c r="K198" s="8"/>
      <c r="L198" s="9"/>
    </row>
    <row r="199" spans="1:17">
      <c r="D199" s="320" t="s">
        <v>213</v>
      </c>
      <c r="E199" s="322"/>
      <c r="F199" s="10"/>
      <c r="G199" s="8"/>
      <c r="H199" s="10"/>
      <c r="I199" s="10"/>
      <c r="J199" s="10"/>
      <c r="K199" s="10"/>
      <c r="L199" s="10"/>
    </row>
    <row r="200" spans="1:17">
      <c r="D200" s="366" t="s">
        <v>663</v>
      </c>
      <c r="E200" s="367"/>
      <c r="F200" s="45" t="s">
        <v>214</v>
      </c>
      <c r="G200" s="89"/>
      <c r="H200" s="89"/>
      <c r="I200" s="7"/>
      <c r="J200" s="7"/>
      <c r="K200" s="7"/>
      <c r="L200" s="9"/>
    </row>
    <row r="201" spans="1:17">
      <c r="D201" s="137" t="s">
        <v>664</v>
      </c>
      <c r="E201" s="41">
        <v>0</v>
      </c>
      <c r="F201" s="45" t="s">
        <v>215</v>
      </c>
      <c r="G201" s="89"/>
      <c r="I201" s="7"/>
      <c r="J201" s="7"/>
      <c r="K201" s="7"/>
      <c r="L201" s="9"/>
    </row>
    <row r="202" spans="1:17">
      <c r="D202" s="137" t="s">
        <v>666</v>
      </c>
      <c r="E202" s="41">
        <v>0</v>
      </c>
      <c r="F202" s="45" t="s">
        <v>216</v>
      </c>
      <c r="G202" s="89"/>
      <c r="I202" s="7"/>
      <c r="J202" s="7"/>
      <c r="K202" s="7"/>
      <c r="L202" s="9"/>
    </row>
    <row r="203" spans="1:17">
      <c r="D203" s="137" t="s">
        <v>667</v>
      </c>
      <c r="E203" s="41">
        <v>0</v>
      </c>
      <c r="F203" s="45" t="s">
        <v>217</v>
      </c>
      <c r="G203" s="89"/>
      <c r="I203" s="7"/>
      <c r="J203" s="7"/>
      <c r="K203" s="7"/>
      <c r="L203" s="9"/>
    </row>
    <row r="204" spans="1:17" ht="16" thickBot="1">
      <c r="D204" s="138" t="s">
        <v>665</v>
      </c>
      <c r="E204" s="139">
        <f>+E201+E202-E203</f>
        <v>0</v>
      </c>
      <c r="F204" s="45" t="s">
        <v>218</v>
      </c>
      <c r="G204" s="89"/>
      <c r="I204" s="7"/>
      <c r="J204" s="7"/>
      <c r="K204" s="7"/>
      <c r="L204" s="9"/>
    </row>
    <row r="205" spans="1:17" ht="16" thickBot="1">
      <c r="D205" s="7"/>
      <c r="E205" s="7"/>
      <c r="F205" s="7"/>
      <c r="G205" s="7"/>
      <c r="H205" s="7"/>
      <c r="I205" s="7"/>
      <c r="J205" s="7"/>
      <c r="K205" s="7"/>
    </row>
    <row r="206" spans="1:17">
      <c r="D206" s="320" t="s">
        <v>219</v>
      </c>
      <c r="E206" s="322" t="s">
        <v>102</v>
      </c>
      <c r="F206" s="5"/>
      <c r="G206" s="5"/>
      <c r="H206" s="5"/>
      <c r="I206" s="5"/>
      <c r="J206" s="5"/>
      <c r="K206" s="5"/>
      <c r="L206" s="5"/>
      <c r="M206" s="5"/>
      <c r="N206" s="5"/>
    </row>
    <row r="207" spans="1:17" ht="31" customHeight="1" thickBot="1">
      <c r="D207" s="140" t="s">
        <v>221</v>
      </c>
      <c r="E207" s="112" t="s">
        <v>650</v>
      </c>
      <c r="F207" s="45" t="s">
        <v>220</v>
      </c>
      <c r="G207" s="328" t="s">
        <v>222</v>
      </c>
      <c r="H207" s="329"/>
      <c r="I207" s="329"/>
      <c r="J207" s="329"/>
      <c r="K207" s="290"/>
      <c r="L207" s="290"/>
      <c r="M207" s="290"/>
      <c r="N207" s="290"/>
      <c r="O207" s="290"/>
      <c r="P207" s="291"/>
    </row>
    <row r="208" spans="1:17">
      <c r="A208" s="9"/>
      <c r="B208" s="9"/>
      <c r="C208" s="9"/>
      <c r="D208" s="320" t="s">
        <v>223</v>
      </c>
      <c r="E208" s="321"/>
      <c r="F208" s="321"/>
      <c r="G208" s="321"/>
      <c r="H208" s="321"/>
      <c r="I208" s="321"/>
      <c r="J208" s="322"/>
      <c r="K208" s="7"/>
      <c r="L208" s="7"/>
      <c r="M208" s="7"/>
      <c r="N208" s="7"/>
    </row>
    <row r="209" spans="1:16" ht="77.5" customHeight="1">
      <c r="A209" s="9"/>
      <c r="B209" s="9"/>
      <c r="C209" s="9"/>
      <c r="D209" s="370" t="s">
        <v>224</v>
      </c>
      <c r="E209" s="368" t="s">
        <v>668</v>
      </c>
      <c r="F209" s="293" t="s">
        <v>669</v>
      </c>
      <c r="G209" s="294"/>
      <c r="H209" s="294"/>
      <c r="I209" s="295"/>
      <c r="J209" s="110" t="s">
        <v>670</v>
      </c>
      <c r="K209" s="299" t="s">
        <v>220</v>
      </c>
      <c r="L209" s="7"/>
      <c r="M209" s="7"/>
      <c r="N209" s="7"/>
    </row>
    <row r="210" spans="1:16" ht="18.5">
      <c r="A210" s="9"/>
      <c r="B210" s="9"/>
      <c r="C210" s="9"/>
      <c r="D210" s="371"/>
      <c r="E210" s="369"/>
      <c r="F210" s="19" t="s">
        <v>226</v>
      </c>
      <c r="G210" s="19" t="s">
        <v>228</v>
      </c>
      <c r="H210" s="19" t="s">
        <v>229</v>
      </c>
      <c r="I210" s="1" t="s">
        <v>230</v>
      </c>
      <c r="J210" s="110"/>
      <c r="K210" s="299"/>
      <c r="L210" s="7"/>
      <c r="M210" s="7"/>
      <c r="N210" s="7"/>
    </row>
    <row r="211" spans="1:16" ht="18.5">
      <c r="A211" s="9"/>
      <c r="B211" s="9"/>
      <c r="C211" s="9"/>
      <c r="D211" s="141" t="s">
        <v>225</v>
      </c>
      <c r="E211" s="42">
        <v>0</v>
      </c>
      <c r="F211" s="42">
        <v>0</v>
      </c>
      <c r="G211" s="42">
        <v>0</v>
      </c>
      <c r="H211" s="42">
        <v>0</v>
      </c>
      <c r="I211" s="42">
        <v>0</v>
      </c>
      <c r="J211" s="41">
        <v>0</v>
      </c>
      <c r="K211" s="299"/>
      <c r="L211" s="7"/>
      <c r="M211" s="7"/>
      <c r="N211" s="7"/>
    </row>
    <row r="212" spans="1:16" ht="18.5">
      <c r="A212" s="9"/>
      <c r="B212" s="9"/>
      <c r="C212" s="9"/>
      <c r="D212" s="141" t="s">
        <v>226</v>
      </c>
      <c r="E212" s="42">
        <v>0</v>
      </c>
      <c r="F212" s="1" t="s">
        <v>227</v>
      </c>
      <c r="G212" s="42">
        <v>0</v>
      </c>
      <c r="H212" s="42">
        <v>0</v>
      </c>
      <c r="I212" s="42">
        <v>0</v>
      </c>
      <c r="J212" s="41">
        <v>0</v>
      </c>
      <c r="K212" s="299"/>
      <c r="L212" s="7"/>
      <c r="M212" s="7"/>
      <c r="N212" s="7"/>
    </row>
    <row r="213" spans="1:16" ht="18.5">
      <c r="A213" s="9"/>
      <c r="B213" s="9"/>
      <c r="C213" s="9"/>
      <c r="D213" s="141" t="s">
        <v>228</v>
      </c>
      <c r="E213" s="42">
        <v>0</v>
      </c>
      <c r="F213" s="1" t="s">
        <v>227</v>
      </c>
      <c r="G213" s="3" t="s">
        <v>227</v>
      </c>
      <c r="H213" s="42">
        <v>0</v>
      </c>
      <c r="I213" s="42">
        <v>0</v>
      </c>
      <c r="J213" s="41">
        <v>0</v>
      </c>
      <c r="K213" s="299"/>
      <c r="L213" s="7"/>
      <c r="M213" s="7"/>
      <c r="N213" s="7"/>
    </row>
    <row r="214" spans="1:16" ht="18.5">
      <c r="A214" s="9"/>
      <c r="B214" s="9"/>
      <c r="C214" s="9"/>
      <c r="D214" s="141" t="s">
        <v>229</v>
      </c>
      <c r="E214" s="42">
        <v>0</v>
      </c>
      <c r="F214" s="1" t="s">
        <v>227</v>
      </c>
      <c r="G214" s="3" t="s">
        <v>227</v>
      </c>
      <c r="H214" s="1" t="s">
        <v>227</v>
      </c>
      <c r="I214" s="42">
        <v>0</v>
      </c>
      <c r="J214" s="41">
        <v>0</v>
      </c>
      <c r="K214" s="299"/>
      <c r="L214" s="7"/>
      <c r="M214" s="7"/>
      <c r="N214" s="7"/>
    </row>
    <row r="215" spans="1:16" ht="15" customHeight="1" thickBot="1">
      <c r="A215" s="9"/>
      <c r="B215" s="9"/>
      <c r="C215" s="9"/>
      <c r="D215" s="25" t="s">
        <v>230</v>
      </c>
      <c r="E215" s="106">
        <v>0</v>
      </c>
      <c r="F215" s="142" t="s">
        <v>227</v>
      </c>
      <c r="G215" s="143" t="s">
        <v>227</v>
      </c>
      <c r="H215" s="142" t="s">
        <v>227</v>
      </c>
      <c r="I215" s="143" t="s">
        <v>227</v>
      </c>
      <c r="J215" s="144" t="s">
        <v>227</v>
      </c>
      <c r="K215" s="299"/>
      <c r="L215" s="7"/>
      <c r="M215" s="7"/>
      <c r="N215" s="7"/>
    </row>
    <row r="216" spans="1:16" ht="16" thickBot="1">
      <c r="A216" s="9"/>
      <c r="B216" s="9"/>
      <c r="C216" s="9"/>
      <c r="D216" s="11"/>
      <c r="E216" s="8"/>
      <c r="F216" s="11"/>
      <c r="G216" s="7"/>
      <c r="H216" s="7"/>
      <c r="I216" s="7"/>
      <c r="J216" s="7"/>
      <c r="K216" s="7"/>
      <c r="L216" s="7"/>
      <c r="M216" s="7"/>
      <c r="N216" s="7"/>
    </row>
    <row r="217" spans="1:16" ht="16" thickBot="1">
      <c r="A217" s="9"/>
      <c r="B217" s="9"/>
      <c r="C217" s="9"/>
      <c r="D217" s="296" t="s">
        <v>231</v>
      </c>
      <c r="E217" s="297"/>
      <c r="F217" s="298"/>
      <c r="G217" s="7"/>
      <c r="H217" s="7"/>
      <c r="I217" s="7"/>
      <c r="J217" s="7"/>
      <c r="K217" s="7"/>
      <c r="L217" s="7"/>
      <c r="M217" s="7"/>
      <c r="N217" s="7"/>
    </row>
    <row r="218" spans="1:16" ht="15" customHeight="1">
      <c r="A218" s="9"/>
      <c r="B218" s="9"/>
      <c r="C218" s="9"/>
      <c r="D218" s="145" t="s">
        <v>671</v>
      </c>
      <c r="E218" s="146" t="s">
        <v>672</v>
      </c>
      <c r="F218" s="135" t="s">
        <v>673</v>
      </c>
      <c r="G218" s="299" t="s">
        <v>232</v>
      </c>
      <c r="H218" s="7"/>
      <c r="I218" s="7"/>
      <c r="J218" s="7"/>
      <c r="K218" s="7"/>
      <c r="L218" s="7"/>
      <c r="M218" s="7"/>
      <c r="N218" s="7"/>
    </row>
    <row r="219" spans="1:16" ht="30" customHeight="1" thickBot="1">
      <c r="A219" s="9"/>
      <c r="B219" s="9"/>
      <c r="C219" s="9"/>
      <c r="D219" s="107">
        <v>0</v>
      </c>
      <c r="E219" s="106">
        <v>0</v>
      </c>
      <c r="F219" s="99">
        <v>0</v>
      </c>
      <c r="G219" s="299"/>
      <c r="H219" s="7"/>
      <c r="I219" s="7"/>
      <c r="J219" s="7"/>
      <c r="K219" s="7"/>
      <c r="L219" s="7"/>
      <c r="M219" s="7"/>
      <c r="N219" s="7"/>
    </row>
    <row r="220" spans="1:16">
      <c r="A220" s="9"/>
      <c r="B220" s="9"/>
      <c r="C220" s="9"/>
      <c r="D220" s="5"/>
      <c r="E220" s="5"/>
      <c r="F220" s="5"/>
      <c r="G220" s="5"/>
      <c r="H220" s="5"/>
      <c r="I220" s="5"/>
      <c r="J220" s="5"/>
      <c r="K220" s="5"/>
      <c r="L220" s="5"/>
      <c r="M220" s="5"/>
      <c r="N220" s="5"/>
    </row>
    <row r="221" spans="1:16" ht="16" thickBot="1">
      <c r="A221" s="9"/>
      <c r="B221" s="9"/>
      <c r="C221" s="9"/>
      <c r="D221" s="5"/>
      <c r="E221" s="5"/>
      <c r="F221" s="5"/>
      <c r="G221" s="5"/>
      <c r="H221" s="5"/>
      <c r="I221" s="5"/>
      <c r="J221" s="5"/>
      <c r="K221" s="5"/>
      <c r="L221" s="5"/>
      <c r="M221" s="5"/>
      <c r="N221" s="5"/>
    </row>
    <row r="222" spans="1:16" ht="33" customHeight="1" thickBot="1">
      <c r="A222" s="9"/>
      <c r="B222" s="9"/>
      <c r="C222" s="9"/>
      <c r="D222" s="353" t="s">
        <v>234</v>
      </c>
      <c r="E222" s="354"/>
      <c r="F222" s="45" t="s">
        <v>233</v>
      </c>
      <c r="G222" s="292" t="s">
        <v>235</v>
      </c>
      <c r="H222" s="292"/>
      <c r="I222" s="292"/>
      <c r="J222" s="292"/>
      <c r="K222" s="292"/>
      <c r="L222" s="292"/>
      <c r="M222" s="292"/>
      <c r="N222" s="292"/>
      <c r="O222" s="292"/>
      <c r="P222" s="292"/>
    </row>
    <row r="223" spans="1:16" ht="15" customHeight="1" thickBot="1">
      <c r="A223" s="9"/>
      <c r="B223" s="9"/>
      <c r="C223" s="9"/>
      <c r="D223" s="296" t="s">
        <v>236</v>
      </c>
      <c r="E223" s="298"/>
      <c r="F223" s="7"/>
      <c r="G223" s="7"/>
      <c r="H223" s="7"/>
      <c r="I223" s="7"/>
      <c r="J223" s="7"/>
      <c r="K223" s="7"/>
      <c r="L223" s="7"/>
      <c r="M223" s="7"/>
      <c r="N223" s="7"/>
    </row>
    <row r="224" spans="1:16">
      <c r="A224" s="84"/>
      <c r="B224" s="9"/>
      <c r="C224" s="9"/>
      <c r="D224" s="12" t="s">
        <v>238</v>
      </c>
      <c r="E224" s="41" t="s">
        <v>650</v>
      </c>
      <c r="F224" s="45" t="s">
        <v>237</v>
      </c>
      <c r="G224" s="18"/>
      <c r="H224" s="18"/>
      <c r="I224" s="18"/>
      <c r="J224" s="18"/>
      <c r="K224" s="18"/>
      <c r="L224" s="18"/>
      <c r="M224" s="18"/>
      <c r="N224" s="18"/>
      <c r="O224" s="18"/>
      <c r="P224" s="18"/>
    </row>
    <row r="225" spans="1:30" ht="16" thickBot="1">
      <c r="A225" s="84"/>
      <c r="B225" s="9"/>
      <c r="C225" s="9"/>
      <c r="D225" s="5"/>
      <c r="E225" s="7"/>
      <c r="F225" s="7"/>
      <c r="G225" s="7"/>
      <c r="H225" s="7"/>
      <c r="I225" s="7"/>
      <c r="J225" s="7"/>
      <c r="K225" s="7"/>
      <c r="L225" s="7"/>
      <c r="M225" s="7"/>
      <c r="N225" s="7"/>
    </row>
    <row r="226" spans="1:30" ht="15.5" customHeight="1">
      <c r="A226" s="84"/>
      <c r="B226" s="9"/>
      <c r="C226" s="9"/>
      <c r="D226" s="320" t="s">
        <v>240</v>
      </c>
      <c r="E226" s="322"/>
      <c r="F226" s="299" t="s">
        <v>239</v>
      </c>
      <c r="G226" s="7"/>
      <c r="H226" s="7"/>
      <c r="I226" s="7"/>
      <c r="J226" s="7"/>
      <c r="K226" s="7"/>
      <c r="L226" s="7"/>
      <c r="M226" s="7"/>
      <c r="N226" s="7"/>
    </row>
    <row r="227" spans="1:30">
      <c r="A227" s="9"/>
      <c r="B227" s="9"/>
      <c r="C227" s="9"/>
      <c r="D227" s="43" t="s">
        <v>241</v>
      </c>
      <c r="E227" s="147" t="s">
        <v>242</v>
      </c>
      <c r="F227" s="299"/>
      <c r="G227" s="7"/>
      <c r="H227" s="7"/>
      <c r="I227" s="7"/>
      <c r="J227" s="7"/>
      <c r="K227" s="7"/>
      <c r="L227" s="7"/>
      <c r="M227" s="7"/>
      <c r="N227" s="7"/>
    </row>
    <row r="228" spans="1:30" ht="21" customHeight="1" thickBot="1">
      <c r="A228" s="84" t="s">
        <v>674</v>
      </c>
      <c r="B228" s="9"/>
      <c r="C228" s="9"/>
      <c r="D228" s="107" t="s">
        <v>3</v>
      </c>
      <c r="E228" s="99" t="s">
        <v>3</v>
      </c>
      <c r="F228" s="299"/>
      <c r="G228" s="89"/>
      <c r="H228" s="7"/>
      <c r="I228" s="7"/>
      <c r="J228" s="7"/>
      <c r="K228" s="7"/>
      <c r="L228" s="7"/>
      <c r="M228" s="7"/>
      <c r="N228" s="7"/>
    </row>
    <row r="229" spans="1:30" ht="16" thickBot="1">
      <c r="A229" s="84" t="s">
        <v>3</v>
      </c>
    </row>
    <row r="230" spans="1:30" ht="16.5" customHeight="1" thickBot="1">
      <c r="A230" s="9"/>
      <c r="B230" s="9"/>
      <c r="C230" s="9"/>
      <c r="D230" s="296" t="s">
        <v>244</v>
      </c>
      <c r="E230" s="297"/>
      <c r="F230" s="297"/>
      <c r="G230" s="297"/>
      <c r="H230" s="297"/>
      <c r="I230" s="297"/>
      <c r="J230" s="297"/>
      <c r="K230" s="297"/>
      <c r="L230" s="297"/>
      <c r="M230" s="298"/>
      <c r="N230" s="45" t="s">
        <v>243</v>
      </c>
    </row>
    <row r="231" spans="1:30" ht="16" thickBot="1">
      <c r="A231" s="9"/>
      <c r="B231" s="9"/>
      <c r="C231" s="9"/>
      <c r="D231" s="303" t="s">
        <v>675</v>
      </c>
      <c r="E231" s="304"/>
      <c r="F231" s="304"/>
      <c r="G231" s="304"/>
      <c r="H231" s="304"/>
      <c r="I231" s="304"/>
      <c r="J231" s="304"/>
      <c r="K231" s="304"/>
      <c r="L231" s="304"/>
      <c r="M231" s="304"/>
    </row>
    <row r="232" spans="1:30" ht="16.5" customHeight="1" thickBot="1">
      <c r="A232" s="9"/>
      <c r="B232" s="9"/>
      <c r="C232" s="9"/>
      <c r="D232" s="156" t="s">
        <v>247</v>
      </c>
      <c r="E232" s="159" t="str">
        <f>+'1 MNE Group Information'!D40</f>
        <v>Nord Stream AG (PE Germany)</v>
      </c>
      <c r="F232" s="159" t="str">
        <f>+'1 MNE Group Information'!F40</f>
        <v>Nord Stream AG (Stateless Permanent Establishment Germany)</v>
      </c>
      <c r="G232" s="159"/>
      <c r="H232" s="159"/>
      <c r="I232" s="159"/>
      <c r="J232" s="159"/>
      <c r="K232" s="159"/>
      <c r="L232" s="160"/>
      <c r="M232" s="157" t="s">
        <v>676</v>
      </c>
      <c r="N232" s="45" t="s">
        <v>245</v>
      </c>
      <c r="O232" s="45" t="s">
        <v>246</v>
      </c>
    </row>
    <row r="233" spans="1:30" ht="16.5" customHeight="1">
      <c r="A233" s="9"/>
      <c r="B233" s="9"/>
      <c r="C233" s="9"/>
      <c r="D233" s="153" t="s">
        <v>249</v>
      </c>
      <c r="E233" s="154">
        <f>+E271</f>
        <v>234576534</v>
      </c>
      <c r="F233" s="154">
        <f t="shared" ref="F233:L233" si="3">+F271</f>
        <v>23457653</v>
      </c>
      <c r="G233" s="154">
        <f t="shared" si="3"/>
        <v>0</v>
      </c>
      <c r="H233" s="154">
        <f t="shared" si="3"/>
        <v>0</v>
      </c>
      <c r="I233" s="154">
        <f t="shared" si="3"/>
        <v>0</v>
      </c>
      <c r="J233" s="154">
        <f t="shared" si="3"/>
        <v>0</v>
      </c>
      <c r="K233" s="154">
        <f t="shared" si="3"/>
        <v>0</v>
      </c>
      <c r="L233" s="154">
        <f t="shared" si="3"/>
        <v>0</v>
      </c>
      <c r="M233" s="155">
        <f>SUM(E233:L233)</f>
        <v>258034187</v>
      </c>
      <c r="N233" s="45" t="s">
        <v>19</v>
      </c>
      <c r="O233" s="45" t="s">
        <v>248</v>
      </c>
    </row>
    <row r="234" spans="1:30" ht="16.5" customHeight="1">
      <c r="A234" s="9"/>
      <c r="B234" s="9"/>
      <c r="C234" s="9"/>
      <c r="D234" s="300" t="s">
        <v>697</v>
      </c>
      <c r="E234" s="301"/>
      <c r="F234" s="301"/>
      <c r="G234" s="301"/>
      <c r="H234" s="301"/>
      <c r="I234" s="301"/>
      <c r="J234" s="301"/>
      <c r="K234" s="301"/>
      <c r="L234" s="301"/>
      <c r="M234" s="302"/>
      <c r="N234" s="45" t="s">
        <v>137</v>
      </c>
      <c r="O234" s="45"/>
    </row>
    <row r="235" spans="1:30" ht="84" customHeight="1">
      <c r="A235" s="9"/>
      <c r="B235" s="9"/>
      <c r="C235" s="9"/>
      <c r="D235" s="23" t="s">
        <v>484</v>
      </c>
      <c r="E235" s="42">
        <v>3457864</v>
      </c>
      <c r="F235" s="42">
        <v>345786</v>
      </c>
      <c r="G235" s="42">
        <v>0</v>
      </c>
      <c r="H235" s="42">
        <v>0</v>
      </c>
      <c r="I235" s="42">
        <v>0</v>
      </c>
      <c r="J235" s="42">
        <v>0</v>
      </c>
      <c r="K235" s="42">
        <v>0</v>
      </c>
      <c r="L235" s="42">
        <v>0</v>
      </c>
      <c r="M235" s="150">
        <f t="shared" ref="M235:M260" si="4">SUM(E235:L235)</f>
        <v>3803650</v>
      </c>
      <c r="N235" s="45" t="s">
        <v>23</v>
      </c>
      <c r="O235" s="45" t="s">
        <v>677</v>
      </c>
      <c r="P235" s="289" t="s">
        <v>251</v>
      </c>
      <c r="Q235" s="290"/>
      <c r="R235" s="290"/>
      <c r="S235" s="290"/>
      <c r="T235" s="290"/>
      <c r="U235" s="290"/>
      <c r="V235" s="290"/>
      <c r="W235" s="290"/>
      <c r="X235" s="290"/>
      <c r="Y235" s="290"/>
      <c r="Z235" s="290"/>
      <c r="AA235" s="290"/>
      <c r="AB235" s="290"/>
      <c r="AC235" s="290"/>
      <c r="AD235" s="291"/>
    </row>
    <row r="236" spans="1:30" ht="31.5" customHeight="1">
      <c r="A236" s="9"/>
      <c r="B236" s="9"/>
      <c r="C236" s="9"/>
      <c r="D236" s="93" t="s">
        <v>485</v>
      </c>
      <c r="E236" s="42">
        <v>0</v>
      </c>
      <c r="F236" s="42">
        <v>0</v>
      </c>
      <c r="G236" s="42">
        <v>0</v>
      </c>
      <c r="H236" s="42">
        <v>0</v>
      </c>
      <c r="I236" s="42">
        <v>0</v>
      </c>
      <c r="J236" s="42">
        <v>0</v>
      </c>
      <c r="K236" s="42">
        <v>0</v>
      </c>
      <c r="L236" s="42">
        <v>0</v>
      </c>
      <c r="M236" s="150">
        <f t="shared" si="4"/>
        <v>0</v>
      </c>
      <c r="N236" s="45" t="s">
        <v>24</v>
      </c>
      <c r="O236" s="45" t="s">
        <v>678</v>
      </c>
      <c r="P236" s="289" t="s">
        <v>252</v>
      </c>
      <c r="Q236" s="290"/>
      <c r="R236" s="290"/>
      <c r="S236" s="290"/>
      <c r="T236" s="290"/>
      <c r="U236" s="290"/>
      <c r="V236" s="290"/>
      <c r="W236" s="290"/>
      <c r="X236" s="290"/>
      <c r="Y236" s="290"/>
      <c r="Z236" s="290"/>
      <c r="AA236" s="290"/>
      <c r="AB236" s="290"/>
      <c r="AC236" s="290"/>
      <c r="AD236" s="291"/>
    </row>
    <row r="237" spans="1:30" ht="34.5" customHeight="1">
      <c r="A237" s="9"/>
      <c r="B237" s="9"/>
      <c r="C237" s="9"/>
      <c r="D237" s="93" t="s">
        <v>486</v>
      </c>
      <c r="E237" s="42">
        <v>0</v>
      </c>
      <c r="F237" s="42">
        <v>0</v>
      </c>
      <c r="G237" s="42">
        <v>0</v>
      </c>
      <c r="H237" s="42">
        <v>0</v>
      </c>
      <c r="I237" s="42">
        <v>0</v>
      </c>
      <c r="J237" s="42">
        <v>0</v>
      </c>
      <c r="K237" s="42">
        <v>0</v>
      </c>
      <c r="L237" s="42">
        <v>0</v>
      </c>
      <c r="M237" s="150">
        <f t="shared" si="4"/>
        <v>0</v>
      </c>
      <c r="N237" s="45" t="s">
        <v>25</v>
      </c>
      <c r="O237" s="45" t="s">
        <v>679</v>
      </c>
      <c r="P237" s="289" t="s">
        <v>253</v>
      </c>
      <c r="Q237" s="290"/>
      <c r="R237" s="290"/>
      <c r="S237" s="290"/>
      <c r="T237" s="290"/>
      <c r="U237" s="290"/>
      <c r="V237" s="290"/>
      <c r="W237" s="290"/>
      <c r="X237" s="290"/>
      <c r="Y237" s="290"/>
      <c r="Z237" s="290"/>
      <c r="AA237" s="290"/>
      <c r="AB237" s="290"/>
      <c r="AC237" s="290"/>
      <c r="AD237" s="291"/>
    </row>
    <row r="238" spans="1:30" ht="16.5" customHeight="1">
      <c r="A238" s="9"/>
      <c r="B238" s="9"/>
      <c r="C238" s="9"/>
      <c r="D238" s="93" t="s">
        <v>487</v>
      </c>
      <c r="E238" s="42">
        <v>0</v>
      </c>
      <c r="F238" s="42">
        <v>0</v>
      </c>
      <c r="G238" s="42">
        <v>0</v>
      </c>
      <c r="H238" s="42">
        <v>0</v>
      </c>
      <c r="I238" s="42">
        <v>0</v>
      </c>
      <c r="J238" s="42">
        <v>0</v>
      </c>
      <c r="K238" s="42">
        <v>0</v>
      </c>
      <c r="L238" s="42">
        <v>0</v>
      </c>
      <c r="M238" s="150">
        <f t="shared" si="4"/>
        <v>0</v>
      </c>
      <c r="N238" s="45" t="s">
        <v>26</v>
      </c>
      <c r="O238" s="45" t="s">
        <v>680</v>
      </c>
      <c r="P238" s="289" t="s">
        <v>254</v>
      </c>
      <c r="Q238" s="290"/>
      <c r="R238" s="290"/>
      <c r="S238" s="290"/>
      <c r="T238" s="290"/>
      <c r="U238" s="290"/>
      <c r="V238" s="290"/>
      <c r="W238" s="290"/>
      <c r="X238" s="290"/>
      <c r="Y238" s="290"/>
      <c r="Z238" s="290"/>
      <c r="AA238" s="290"/>
      <c r="AB238" s="290"/>
      <c r="AC238" s="290"/>
      <c r="AD238" s="291"/>
    </row>
    <row r="239" spans="1:30" ht="36" customHeight="1">
      <c r="A239" s="9"/>
      <c r="B239" s="9"/>
      <c r="C239" s="9"/>
      <c r="D239" s="93" t="s">
        <v>488</v>
      </c>
      <c r="E239" s="42">
        <v>0</v>
      </c>
      <c r="F239" s="42">
        <v>0</v>
      </c>
      <c r="G239" s="42">
        <v>0</v>
      </c>
      <c r="H239" s="42">
        <v>0</v>
      </c>
      <c r="I239" s="42">
        <v>0</v>
      </c>
      <c r="J239" s="42">
        <v>0</v>
      </c>
      <c r="K239" s="42">
        <v>0</v>
      </c>
      <c r="L239" s="42">
        <v>0</v>
      </c>
      <c r="M239" s="150">
        <f t="shared" si="4"/>
        <v>0</v>
      </c>
      <c r="N239" s="45" t="s">
        <v>27</v>
      </c>
      <c r="O239" s="45" t="s">
        <v>255</v>
      </c>
      <c r="P239" s="289" t="s">
        <v>256</v>
      </c>
      <c r="Q239" s="290"/>
      <c r="R239" s="290"/>
      <c r="S239" s="290"/>
      <c r="T239" s="290"/>
      <c r="U239" s="290"/>
      <c r="V239" s="290"/>
      <c r="W239" s="290"/>
      <c r="X239" s="290"/>
      <c r="Y239" s="290"/>
      <c r="Z239" s="290"/>
      <c r="AA239" s="290"/>
      <c r="AB239" s="290"/>
      <c r="AC239" s="290"/>
      <c r="AD239" s="291"/>
    </row>
    <row r="240" spans="1:30" ht="36" customHeight="1">
      <c r="A240" s="9"/>
      <c r="B240" s="9"/>
      <c r="C240" s="9"/>
      <c r="D240" s="93" t="s">
        <v>489</v>
      </c>
      <c r="E240" s="42">
        <v>0</v>
      </c>
      <c r="F240" s="42">
        <v>0</v>
      </c>
      <c r="G240" s="42">
        <v>0</v>
      </c>
      <c r="H240" s="42">
        <v>0</v>
      </c>
      <c r="I240" s="42">
        <v>0</v>
      </c>
      <c r="J240" s="42">
        <v>0</v>
      </c>
      <c r="K240" s="42">
        <v>0</v>
      </c>
      <c r="L240" s="42">
        <v>0</v>
      </c>
      <c r="M240" s="150">
        <f t="shared" si="4"/>
        <v>0</v>
      </c>
      <c r="N240" s="45" t="s">
        <v>28</v>
      </c>
      <c r="O240" s="45" t="s">
        <v>681</v>
      </c>
      <c r="P240" s="289" t="s">
        <v>257</v>
      </c>
      <c r="Q240" s="290"/>
      <c r="R240" s="290"/>
      <c r="S240" s="290"/>
      <c r="T240" s="290"/>
      <c r="U240" s="290"/>
      <c r="V240" s="290"/>
      <c r="W240" s="290"/>
      <c r="X240" s="290"/>
      <c r="Y240" s="290"/>
      <c r="Z240" s="290"/>
      <c r="AA240" s="290"/>
      <c r="AB240" s="290"/>
      <c r="AC240" s="290"/>
      <c r="AD240" s="291"/>
    </row>
    <row r="241" spans="1:30" ht="101" customHeight="1">
      <c r="A241" s="9"/>
      <c r="B241" s="9"/>
      <c r="C241" s="9"/>
      <c r="D241" s="93" t="s">
        <v>490</v>
      </c>
      <c r="E241" s="42">
        <v>0</v>
      </c>
      <c r="F241" s="42">
        <v>0</v>
      </c>
      <c r="G241" s="42">
        <v>0</v>
      </c>
      <c r="H241" s="42">
        <v>0</v>
      </c>
      <c r="I241" s="42">
        <v>0</v>
      </c>
      <c r="J241" s="42">
        <v>0</v>
      </c>
      <c r="K241" s="42">
        <v>0</v>
      </c>
      <c r="L241" s="42">
        <v>0</v>
      </c>
      <c r="M241" s="150">
        <f t="shared" si="4"/>
        <v>0</v>
      </c>
      <c r="N241" s="45" t="s">
        <v>29</v>
      </c>
      <c r="O241" s="45" t="s">
        <v>682</v>
      </c>
      <c r="P241" s="289" t="s">
        <v>258</v>
      </c>
      <c r="Q241" s="290"/>
      <c r="R241" s="290"/>
      <c r="S241" s="290"/>
      <c r="T241" s="290"/>
      <c r="U241" s="290"/>
      <c r="V241" s="290"/>
      <c r="W241" s="290"/>
      <c r="X241" s="290"/>
      <c r="Y241" s="290"/>
      <c r="Z241" s="290"/>
      <c r="AA241" s="290"/>
      <c r="AB241" s="290"/>
      <c r="AC241" s="290"/>
      <c r="AD241" s="291"/>
    </row>
    <row r="242" spans="1:30" ht="16.5" customHeight="1">
      <c r="A242" s="9"/>
      <c r="B242" s="9"/>
      <c r="C242" s="9"/>
      <c r="D242" s="93" t="s">
        <v>491</v>
      </c>
      <c r="E242" s="42">
        <v>0</v>
      </c>
      <c r="F242" s="42">
        <v>0</v>
      </c>
      <c r="G242" s="42">
        <v>0</v>
      </c>
      <c r="H242" s="42">
        <v>0</v>
      </c>
      <c r="I242" s="42">
        <v>0</v>
      </c>
      <c r="J242" s="42">
        <v>0</v>
      </c>
      <c r="K242" s="42">
        <v>0</v>
      </c>
      <c r="L242" s="42">
        <v>0</v>
      </c>
      <c r="M242" s="150">
        <f t="shared" si="4"/>
        <v>0</v>
      </c>
      <c r="N242" s="45" t="s">
        <v>30</v>
      </c>
      <c r="O242" s="45" t="s">
        <v>683</v>
      </c>
      <c r="P242" s="289" t="s">
        <v>259</v>
      </c>
      <c r="Q242" s="290"/>
      <c r="R242" s="290"/>
      <c r="S242" s="290"/>
      <c r="T242" s="290"/>
      <c r="U242" s="290"/>
      <c r="V242" s="290"/>
      <c r="W242" s="290"/>
      <c r="X242" s="290"/>
      <c r="Y242" s="290"/>
      <c r="Z242" s="290"/>
      <c r="AA242" s="290"/>
      <c r="AB242" s="290"/>
      <c r="AC242" s="290"/>
      <c r="AD242" s="291"/>
    </row>
    <row r="243" spans="1:30" ht="16.5" customHeight="1">
      <c r="A243" s="9"/>
      <c r="B243" s="9"/>
      <c r="C243" s="9"/>
      <c r="D243" s="93" t="s">
        <v>492</v>
      </c>
      <c r="E243" s="42">
        <v>0</v>
      </c>
      <c r="F243" s="42">
        <v>0</v>
      </c>
      <c r="G243" s="42">
        <v>0</v>
      </c>
      <c r="H243" s="42">
        <v>0</v>
      </c>
      <c r="I243" s="42">
        <v>0</v>
      </c>
      <c r="J243" s="42">
        <v>0</v>
      </c>
      <c r="K243" s="42">
        <v>0</v>
      </c>
      <c r="L243" s="42">
        <v>0</v>
      </c>
      <c r="M243" s="150">
        <f t="shared" si="4"/>
        <v>0</v>
      </c>
      <c r="N243" s="45" t="s">
        <v>31</v>
      </c>
      <c r="O243" s="45" t="s">
        <v>684</v>
      </c>
      <c r="P243" s="289" t="s">
        <v>260</v>
      </c>
      <c r="Q243" s="290"/>
      <c r="R243" s="290"/>
      <c r="S243" s="290"/>
      <c r="T243" s="290"/>
      <c r="U243" s="290"/>
      <c r="V243" s="290"/>
      <c r="W243" s="290"/>
      <c r="X243" s="290"/>
      <c r="Y243" s="290"/>
      <c r="Z243" s="290"/>
      <c r="AA243" s="290"/>
      <c r="AB243" s="290"/>
      <c r="AC243" s="290"/>
      <c r="AD243" s="291"/>
    </row>
    <row r="244" spans="1:30" ht="29.5" customHeight="1">
      <c r="A244" s="9"/>
      <c r="B244" s="9"/>
      <c r="C244" s="9"/>
      <c r="D244" s="93" t="s">
        <v>493</v>
      </c>
      <c r="E244" s="42">
        <v>0</v>
      </c>
      <c r="F244" s="42">
        <v>0</v>
      </c>
      <c r="G244" s="42">
        <v>0</v>
      </c>
      <c r="H244" s="42">
        <v>0</v>
      </c>
      <c r="I244" s="42">
        <v>0</v>
      </c>
      <c r="J244" s="42">
        <v>0</v>
      </c>
      <c r="K244" s="42">
        <v>0</v>
      </c>
      <c r="L244" s="42">
        <v>0</v>
      </c>
      <c r="M244" s="150">
        <f t="shared" si="4"/>
        <v>0</v>
      </c>
      <c r="N244" s="45" t="s">
        <v>32</v>
      </c>
      <c r="O244" s="45" t="s">
        <v>685</v>
      </c>
      <c r="P244" s="289" t="s">
        <v>261</v>
      </c>
      <c r="Q244" s="290"/>
      <c r="R244" s="290"/>
      <c r="S244" s="290"/>
      <c r="T244" s="290"/>
      <c r="U244" s="290"/>
      <c r="V244" s="290"/>
      <c r="W244" s="290"/>
      <c r="X244" s="290"/>
      <c r="Y244" s="290"/>
      <c r="Z244" s="290"/>
      <c r="AA244" s="290"/>
      <c r="AB244" s="290"/>
      <c r="AC244" s="290"/>
      <c r="AD244" s="291"/>
    </row>
    <row r="245" spans="1:30" ht="33.5" customHeight="1">
      <c r="A245" s="9"/>
      <c r="B245" s="9"/>
      <c r="C245" s="9"/>
      <c r="D245" s="93" t="s">
        <v>494</v>
      </c>
      <c r="E245" s="42">
        <v>0</v>
      </c>
      <c r="F245" s="42">
        <v>0</v>
      </c>
      <c r="G245" s="42">
        <v>0</v>
      </c>
      <c r="H245" s="42">
        <v>0</v>
      </c>
      <c r="I245" s="42">
        <v>0</v>
      </c>
      <c r="J245" s="42">
        <v>0</v>
      </c>
      <c r="K245" s="42">
        <v>0</v>
      </c>
      <c r="L245" s="42">
        <v>0</v>
      </c>
      <c r="M245" s="150">
        <f t="shared" si="4"/>
        <v>0</v>
      </c>
      <c r="N245" s="45" t="s">
        <v>33</v>
      </c>
      <c r="O245" s="45" t="s">
        <v>686</v>
      </c>
      <c r="P245" s="289" t="s">
        <v>262</v>
      </c>
      <c r="Q245" s="290"/>
      <c r="R245" s="290"/>
      <c r="S245" s="290"/>
      <c r="T245" s="290"/>
      <c r="U245" s="290"/>
      <c r="V245" s="290"/>
      <c r="W245" s="290"/>
      <c r="X245" s="290"/>
      <c r="Y245" s="290"/>
      <c r="Z245" s="290"/>
      <c r="AA245" s="290"/>
      <c r="AB245" s="290"/>
      <c r="AC245" s="290"/>
      <c r="AD245" s="291"/>
    </row>
    <row r="246" spans="1:30" ht="16.5" customHeight="1">
      <c r="A246" s="9"/>
      <c r="B246" s="9"/>
      <c r="C246" s="9"/>
      <c r="D246" s="93" t="s">
        <v>496</v>
      </c>
      <c r="E246" s="42">
        <v>0</v>
      </c>
      <c r="F246" s="42">
        <v>0</v>
      </c>
      <c r="G246" s="42">
        <v>0</v>
      </c>
      <c r="H246" s="42">
        <v>0</v>
      </c>
      <c r="I246" s="42">
        <v>0</v>
      </c>
      <c r="J246" s="42">
        <v>0</v>
      </c>
      <c r="K246" s="42">
        <v>0</v>
      </c>
      <c r="L246" s="42">
        <v>0</v>
      </c>
      <c r="M246" s="150">
        <f t="shared" si="4"/>
        <v>0</v>
      </c>
      <c r="N246" s="45" t="s">
        <v>34</v>
      </c>
      <c r="O246" s="45" t="s">
        <v>687</v>
      </c>
      <c r="P246" s="14"/>
    </row>
    <row r="247" spans="1:30" ht="16.5" customHeight="1">
      <c r="A247" s="9"/>
      <c r="B247" s="9"/>
      <c r="C247" s="9"/>
      <c r="D247" s="93" t="s">
        <v>495</v>
      </c>
      <c r="E247" s="42">
        <v>0</v>
      </c>
      <c r="F247" s="42">
        <v>0</v>
      </c>
      <c r="G247" s="42">
        <v>0</v>
      </c>
      <c r="H247" s="42">
        <v>0</v>
      </c>
      <c r="I247" s="42">
        <v>0</v>
      </c>
      <c r="J247" s="42">
        <v>0</v>
      </c>
      <c r="K247" s="42">
        <v>0</v>
      </c>
      <c r="L247" s="42">
        <v>0</v>
      </c>
      <c r="M247" s="150">
        <f t="shared" si="4"/>
        <v>0</v>
      </c>
      <c r="N247" s="45" t="s">
        <v>35</v>
      </c>
      <c r="O247" s="45" t="s">
        <v>264</v>
      </c>
      <c r="P247" s="289" t="s">
        <v>265</v>
      </c>
      <c r="Q247" s="290"/>
      <c r="R247" s="290"/>
      <c r="S247" s="290"/>
      <c r="T247" s="290"/>
      <c r="U247" s="290"/>
      <c r="V247" s="290"/>
      <c r="W247" s="290"/>
      <c r="X247" s="290"/>
      <c r="Y247" s="290"/>
      <c r="Z247" s="290"/>
      <c r="AA247" s="290"/>
      <c r="AB247" s="290"/>
      <c r="AC247" s="290"/>
      <c r="AD247" s="291"/>
    </row>
    <row r="248" spans="1:30" ht="33" customHeight="1">
      <c r="A248" s="9"/>
      <c r="B248" s="9"/>
      <c r="C248" s="9"/>
      <c r="D248" s="93" t="s">
        <v>698</v>
      </c>
      <c r="E248" s="42">
        <v>0</v>
      </c>
      <c r="F248" s="42">
        <v>0</v>
      </c>
      <c r="G248" s="42">
        <v>0</v>
      </c>
      <c r="H248" s="42">
        <v>0</v>
      </c>
      <c r="I248" s="42">
        <v>0</v>
      </c>
      <c r="J248" s="42">
        <v>0</v>
      </c>
      <c r="K248" s="42">
        <v>0</v>
      </c>
      <c r="L248" s="42">
        <v>0</v>
      </c>
      <c r="M248" s="150">
        <f t="shared" si="4"/>
        <v>0</v>
      </c>
      <c r="N248" s="45" t="s">
        <v>36</v>
      </c>
      <c r="O248" s="45" t="s">
        <v>266</v>
      </c>
      <c r="P248" s="289" t="s">
        <v>267</v>
      </c>
      <c r="Q248" s="290"/>
      <c r="R248" s="290"/>
      <c r="S248" s="290"/>
      <c r="T248" s="290"/>
      <c r="U248" s="290"/>
      <c r="V248" s="290"/>
      <c r="W248" s="290"/>
      <c r="X248" s="290"/>
      <c r="Y248" s="290"/>
      <c r="Z248" s="290"/>
      <c r="AA248" s="290"/>
      <c r="AB248" s="290"/>
      <c r="AC248" s="290"/>
      <c r="AD248" s="291"/>
    </row>
    <row r="249" spans="1:30" ht="16.5" customHeight="1">
      <c r="A249" s="9"/>
      <c r="B249" s="9"/>
      <c r="C249" s="9"/>
      <c r="D249" s="93" t="s">
        <v>498</v>
      </c>
      <c r="E249" s="42">
        <v>0</v>
      </c>
      <c r="F249" s="42">
        <v>0</v>
      </c>
      <c r="G249" s="42">
        <v>0</v>
      </c>
      <c r="H249" s="42">
        <v>0</v>
      </c>
      <c r="I249" s="42">
        <v>0</v>
      </c>
      <c r="J249" s="42">
        <v>0</v>
      </c>
      <c r="K249" s="42">
        <v>0</v>
      </c>
      <c r="L249" s="42">
        <v>0</v>
      </c>
      <c r="M249" s="150">
        <f t="shared" si="4"/>
        <v>0</v>
      </c>
      <c r="N249" s="45" t="s">
        <v>37</v>
      </c>
      <c r="O249" s="45" t="s">
        <v>688</v>
      </c>
      <c r="P249" s="14"/>
    </row>
    <row r="250" spans="1:30" ht="16.5" customHeight="1">
      <c r="A250" s="9"/>
      <c r="B250" s="9"/>
      <c r="C250" s="9"/>
      <c r="D250" s="93" t="s">
        <v>499</v>
      </c>
      <c r="E250" s="42">
        <v>0</v>
      </c>
      <c r="F250" s="42">
        <v>0</v>
      </c>
      <c r="G250" s="42">
        <v>0</v>
      </c>
      <c r="H250" s="42">
        <v>0</v>
      </c>
      <c r="I250" s="42">
        <v>0</v>
      </c>
      <c r="J250" s="42">
        <v>0</v>
      </c>
      <c r="K250" s="42">
        <v>0</v>
      </c>
      <c r="L250" s="42">
        <v>0</v>
      </c>
      <c r="M250" s="150">
        <f t="shared" si="4"/>
        <v>0</v>
      </c>
      <c r="N250" s="45" t="s">
        <v>38</v>
      </c>
      <c r="O250" s="45" t="s">
        <v>689</v>
      </c>
      <c r="P250" s="14"/>
    </row>
    <row r="251" spans="1:30" ht="36" customHeight="1">
      <c r="A251" s="9"/>
      <c r="B251" s="9"/>
      <c r="C251" s="9"/>
      <c r="D251" s="93" t="s">
        <v>500</v>
      </c>
      <c r="E251" s="42">
        <v>0</v>
      </c>
      <c r="F251" s="42">
        <v>0</v>
      </c>
      <c r="G251" s="42">
        <v>0</v>
      </c>
      <c r="H251" s="42">
        <v>0</v>
      </c>
      <c r="I251" s="42">
        <v>0</v>
      </c>
      <c r="J251" s="42">
        <v>0</v>
      </c>
      <c r="K251" s="42">
        <v>0</v>
      </c>
      <c r="L251" s="42">
        <v>0</v>
      </c>
      <c r="M251" s="150">
        <f t="shared" si="4"/>
        <v>0</v>
      </c>
      <c r="N251" s="45" t="s">
        <v>39</v>
      </c>
      <c r="O251" s="45" t="s">
        <v>690</v>
      </c>
      <c r="P251" s="289" t="s">
        <v>268</v>
      </c>
      <c r="Q251" s="290"/>
      <c r="R251" s="290"/>
      <c r="S251" s="290"/>
      <c r="T251" s="290"/>
      <c r="U251" s="290"/>
      <c r="V251" s="290"/>
      <c r="W251" s="290"/>
      <c r="X251" s="290"/>
      <c r="Y251" s="290"/>
      <c r="Z251" s="290"/>
      <c r="AA251" s="290"/>
      <c r="AB251" s="290"/>
      <c r="AC251" s="290"/>
      <c r="AD251" s="291"/>
    </row>
    <row r="252" spans="1:30" ht="30" customHeight="1">
      <c r="A252" s="9"/>
      <c r="B252" s="9"/>
      <c r="C252" s="9"/>
      <c r="D252" s="93" t="s">
        <v>501</v>
      </c>
      <c r="E252" s="42">
        <v>0</v>
      </c>
      <c r="F252" s="42">
        <v>0</v>
      </c>
      <c r="G252" s="42">
        <v>0</v>
      </c>
      <c r="H252" s="42">
        <v>0</v>
      </c>
      <c r="I252" s="42">
        <v>0</v>
      </c>
      <c r="J252" s="42">
        <v>0</v>
      </c>
      <c r="K252" s="42">
        <v>0</v>
      </c>
      <c r="L252" s="42">
        <v>0</v>
      </c>
      <c r="M252" s="150">
        <f t="shared" si="4"/>
        <v>0</v>
      </c>
      <c r="N252" s="45" t="s">
        <v>40</v>
      </c>
      <c r="O252" s="45" t="s">
        <v>691</v>
      </c>
      <c r="P252" s="289" t="s">
        <v>269</v>
      </c>
      <c r="Q252" s="290"/>
      <c r="R252" s="290"/>
      <c r="S252" s="290"/>
      <c r="T252" s="290"/>
      <c r="U252" s="290"/>
      <c r="V252" s="290"/>
      <c r="W252" s="290"/>
      <c r="X252" s="290"/>
      <c r="Y252" s="290"/>
      <c r="Z252" s="290"/>
      <c r="AA252" s="290"/>
      <c r="AB252" s="290"/>
      <c r="AC252" s="290"/>
      <c r="AD252" s="291"/>
    </row>
    <row r="253" spans="1:30" ht="16.5" customHeight="1">
      <c r="A253" s="9"/>
      <c r="B253" s="9"/>
      <c r="C253" s="9"/>
      <c r="D253" s="93" t="s">
        <v>502</v>
      </c>
      <c r="E253" s="42">
        <v>0</v>
      </c>
      <c r="F253" s="42">
        <v>0</v>
      </c>
      <c r="G253" s="42">
        <v>0</v>
      </c>
      <c r="H253" s="42">
        <v>0</v>
      </c>
      <c r="I253" s="42">
        <v>0</v>
      </c>
      <c r="J253" s="42">
        <v>0</v>
      </c>
      <c r="K253" s="42">
        <v>0</v>
      </c>
      <c r="L253" s="42">
        <v>0</v>
      </c>
      <c r="M253" s="150">
        <f t="shared" si="4"/>
        <v>0</v>
      </c>
      <c r="N253" s="45" t="s">
        <v>41</v>
      </c>
      <c r="O253" s="45" t="s">
        <v>692</v>
      </c>
      <c r="P253" s="289" t="s">
        <v>270</v>
      </c>
      <c r="Q253" s="290"/>
      <c r="R253" s="290"/>
      <c r="S253" s="290"/>
      <c r="T253" s="290"/>
      <c r="U253" s="290"/>
      <c r="V253" s="290"/>
      <c r="W253" s="290"/>
      <c r="X253" s="290"/>
      <c r="Y253" s="290"/>
      <c r="Z253" s="290"/>
      <c r="AA253" s="290"/>
      <c r="AB253" s="290"/>
      <c r="AC253" s="290"/>
      <c r="AD253" s="291"/>
    </row>
    <row r="254" spans="1:30" ht="31" customHeight="1">
      <c r="A254" s="9"/>
      <c r="B254" s="9"/>
      <c r="C254" s="9"/>
      <c r="D254" s="141" t="s">
        <v>503</v>
      </c>
      <c r="E254" s="42">
        <v>0</v>
      </c>
      <c r="F254" s="42">
        <v>0</v>
      </c>
      <c r="G254" s="42">
        <v>0</v>
      </c>
      <c r="H254" s="42">
        <v>0</v>
      </c>
      <c r="I254" s="42">
        <v>0</v>
      </c>
      <c r="J254" s="42">
        <v>0</v>
      </c>
      <c r="K254" s="42">
        <v>0</v>
      </c>
      <c r="L254" s="42">
        <v>0</v>
      </c>
      <c r="M254" s="150">
        <f t="shared" si="4"/>
        <v>0</v>
      </c>
      <c r="N254" s="45" t="s">
        <v>42</v>
      </c>
      <c r="O254" s="45" t="s">
        <v>693</v>
      </c>
      <c r="P254" s="289" t="s">
        <v>271</v>
      </c>
      <c r="Q254" s="290"/>
      <c r="R254" s="290"/>
      <c r="S254" s="290"/>
      <c r="T254" s="290"/>
      <c r="U254" s="290"/>
      <c r="V254" s="290"/>
      <c r="W254" s="290"/>
      <c r="X254" s="290"/>
      <c r="Y254" s="290"/>
      <c r="Z254" s="290"/>
      <c r="AA254" s="290"/>
      <c r="AB254" s="290"/>
      <c r="AC254" s="290"/>
      <c r="AD254" s="291"/>
    </row>
    <row r="255" spans="1:30" ht="33.5" customHeight="1">
      <c r="A255" s="9"/>
      <c r="B255" s="9"/>
      <c r="C255" s="9"/>
      <c r="D255" s="93" t="s">
        <v>504</v>
      </c>
      <c r="E255" s="42">
        <v>0</v>
      </c>
      <c r="F255" s="42">
        <v>0</v>
      </c>
      <c r="G255" s="42">
        <v>0</v>
      </c>
      <c r="H255" s="42">
        <v>0</v>
      </c>
      <c r="I255" s="42">
        <v>0</v>
      </c>
      <c r="J255" s="42">
        <v>0</v>
      </c>
      <c r="K255" s="42">
        <v>0</v>
      </c>
      <c r="L255" s="42">
        <v>0</v>
      </c>
      <c r="M255" s="150">
        <f t="shared" si="4"/>
        <v>0</v>
      </c>
      <c r="N255" s="45" t="s">
        <v>43</v>
      </c>
      <c r="O255" s="45" t="s">
        <v>272</v>
      </c>
      <c r="P255" s="289" t="s">
        <v>273</v>
      </c>
      <c r="Q255" s="290"/>
      <c r="R255" s="290"/>
      <c r="S255" s="290"/>
      <c r="T255" s="290"/>
      <c r="U255" s="290"/>
      <c r="V255" s="290"/>
      <c r="W255" s="290"/>
      <c r="X255" s="290"/>
      <c r="Y255" s="290"/>
      <c r="Z255" s="290"/>
      <c r="AA255" s="290"/>
      <c r="AB255" s="290"/>
      <c r="AC255" s="290"/>
      <c r="AD255" s="291"/>
    </row>
    <row r="256" spans="1:30" ht="16.5" customHeight="1">
      <c r="A256" s="9"/>
      <c r="B256" s="9"/>
      <c r="C256" s="9"/>
      <c r="D256" s="93" t="s">
        <v>505</v>
      </c>
      <c r="E256" s="42">
        <v>0</v>
      </c>
      <c r="F256" s="42">
        <v>0</v>
      </c>
      <c r="G256" s="42">
        <v>0</v>
      </c>
      <c r="H256" s="42">
        <v>0</v>
      </c>
      <c r="I256" s="42">
        <v>0</v>
      </c>
      <c r="J256" s="42">
        <v>0</v>
      </c>
      <c r="K256" s="42">
        <v>0</v>
      </c>
      <c r="L256" s="42">
        <v>0</v>
      </c>
      <c r="M256" s="150">
        <f t="shared" si="4"/>
        <v>0</v>
      </c>
      <c r="N256" s="45" t="s">
        <v>44</v>
      </c>
      <c r="O256" s="45" t="s">
        <v>274</v>
      </c>
      <c r="P256" s="14"/>
    </row>
    <row r="257" spans="1:30" ht="30.5" customHeight="1">
      <c r="A257" s="9"/>
      <c r="B257" s="9"/>
      <c r="C257" s="9"/>
      <c r="D257" s="93" t="s">
        <v>506</v>
      </c>
      <c r="E257" s="42">
        <v>0</v>
      </c>
      <c r="F257" s="42">
        <v>0</v>
      </c>
      <c r="G257" s="42">
        <v>0</v>
      </c>
      <c r="H257" s="42">
        <v>0</v>
      </c>
      <c r="I257" s="42">
        <v>0</v>
      </c>
      <c r="J257" s="42">
        <v>0</v>
      </c>
      <c r="K257" s="42">
        <v>0</v>
      </c>
      <c r="L257" s="42">
        <v>0</v>
      </c>
      <c r="M257" s="150">
        <f>SUM(E257:L257)</f>
        <v>0</v>
      </c>
      <c r="N257" s="45" t="s">
        <v>45</v>
      </c>
      <c r="O257" s="45" t="s">
        <v>694</v>
      </c>
      <c r="P257" s="289" t="s">
        <v>275</v>
      </c>
      <c r="Q257" s="290"/>
      <c r="R257" s="290"/>
      <c r="S257" s="290"/>
      <c r="T257" s="290"/>
      <c r="U257" s="290"/>
      <c r="V257" s="290"/>
      <c r="W257" s="290"/>
      <c r="X257" s="290"/>
      <c r="Y257" s="290"/>
      <c r="Z257" s="290"/>
      <c r="AA257" s="290"/>
      <c r="AB257" s="290"/>
      <c r="AC257" s="290"/>
      <c r="AD257" s="291"/>
    </row>
    <row r="258" spans="1:30" ht="65" customHeight="1">
      <c r="A258" s="9"/>
      <c r="B258" s="9"/>
      <c r="C258" s="9"/>
      <c r="D258" s="93" t="s">
        <v>507</v>
      </c>
      <c r="E258" s="42">
        <v>0</v>
      </c>
      <c r="F258" s="42">
        <v>0</v>
      </c>
      <c r="G258" s="42">
        <v>0</v>
      </c>
      <c r="H258" s="42">
        <v>0</v>
      </c>
      <c r="I258" s="42">
        <v>0</v>
      </c>
      <c r="J258" s="42">
        <v>0</v>
      </c>
      <c r="K258" s="42">
        <v>0</v>
      </c>
      <c r="L258" s="42">
        <v>0</v>
      </c>
      <c r="M258" s="150">
        <f t="shared" si="4"/>
        <v>0</v>
      </c>
      <c r="N258" s="45" t="s">
        <v>46</v>
      </c>
      <c r="O258" s="45" t="s">
        <v>695</v>
      </c>
      <c r="P258" s="289" t="s">
        <v>276</v>
      </c>
      <c r="Q258" s="290"/>
      <c r="R258" s="290"/>
      <c r="S258" s="290"/>
      <c r="T258" s="290"/>
      <c r="U258" s="290"/>
      <c r="V258" s="290"/>
      <c r="W258" s="290"/>
      <c r="X258" s="290"/>
      <c r="Y258" s="290"/>
      <c r="Z258" s="290"/>
      <c r="AA258" s="290"/>
      <c r="AB258" s="290"/>
      <c r="AC258" s="290"/>
      <c r="AD258" s="291"/>
    </row>
    <row r="259" spans="1:30" ht="16.5" customHeight="1">
      <c r="A259" s="9"/>
      <c r="B259" s="9"/>
      <c r="C259" s="9"/>
      <c r="D259" s="93" t="s">
        <v>699</v>
      </c>
      <c r="E259" s="42">
        <v>0</v>
      </c>
      <c r="F259" s="42">
        <v>0</v>
      </c>
      <c r="G259" s="42">
        <v>0</v>
      </c>
      <c r="H259" s="42">
        <v>0</v>
      </c>
      <c r="I259" s="42">
        <v>0</v>
      </c>
      <c r="J259" s="42">
        <v>0</v>
      </c>
      <c r="K259" s="42">
        <v>0</v>
      </c>
      <c r="L259" s="42">
        <v>0</v>
      </c>
      <c r="M259" s="150">
        <f t="shared" si="4"/>
        <v>0</v>
      </c>
      <c r="N259" s="45" t="s">
        <v>47</v>
      </c>
      <c r="O259" s="45" t="s">
        <v>696</v>
      </c>
      <c r="P259" s="289" t="s">
        <v>277</v>
      </c>
      <c r="Q259" s="290"/>
      <c r="R259" s="290"/>
      <c r="S259" s="290"/>
      <c r="T259" s="290"/>
      <c r="U259" s="290"/>
      <c r="V259" s="290"/>
      <c r="W259" s="290"/>
      <c r="X259" s="290"/>
      <c r="Y259" s="290"/>
      <c r="Z259" s="290"/>
      <c r="AA259" s="290"/>
      <c r="AB259" s="290"/>
      <c r="AC259" s="290"/>
      <c r="AD259" s="291"/>
    </row>
    <row r="260" spans="1:30" ht="80.5" customHeight="1">
      <c r="A260" s="9"/>
      <c r="B260" s="9"/>
      <c r="C260" s="9"/>
      <c r="D260" s="93" t="s">
        <v>509</v>
      </c>
      <c r="E260" s="42">
        <v>0</v>
      </c>
      <c r="F260" s="42">
        <v>0</v>
      </c>
      <c r="G260" s="42">
        <v>0</v>
      </c>
      <c r="H260" s="42">
        <v>0</v>
      </c>
      <c r="I260" s="42">
        <v>0</v>
      </c>
      <c r="J260" s="42">
        <v>0</v>
      </c>
      <c r="K260" s="42">
        <v>0</v>
      </c>
      <c r="L260" s="42">
        <v>0</v>
      </c>
      <c r="M260" s="150">
        <f t="shared" si="4"/>
        <v>0</v>
      </c>
      <c r="N260" s="45" t="s">
        <v>48</v>
      </c>
      <c r="O260" s="45" t="s">
        <v>278</v>
      </c>
      <c r="P260" s="289" t="s">
        <v>279</v>
      </c>
      <c r="Q260" s="290"/>
      <c r="R260" s="290"/>
      <c r="S260" s="290"/>
      <c r="T260" s="290"/>
      <c r="U260" s="290"/>
      <c r="V260" s="290"/>
      <c r="W260" s="290"/>
      <c r="X260" s="290"/>
      <c r="Y260" s="290"/>
      <c r="Z260" s="290"/>
      <c r="AA260" s="290"/>
      <c r="AB260" s="290"/>
      <c r="AC260" s="290"/>
      <c r="AD260" s="291"/>
    </row>
    <row r="261" spans="1:30" ht="16.5" customHeight="1" thickBot="1">
      <c r="A261" s="9"/>
      <c r="B261" s="9"/>
      <c r="C261" s="9"/>
      <c r="D261" s="158" t="s">
        <v>281</v>
      </c>
      <c r="E261" s="151">
        <f>E233+SUM(E235:E260)</f>
        <v>238034398</v>
      </c>
      <c r="F261" s="151">
        <f t="shared" ref="F261:M261" si="5">F233+SUM(F235:F260)</f>
        <v>23803439</v>
      </c>
      <c r="G261" s="151">
        <f t="shared" si="5"/>
        <v>0</v>
      </c>
      <c r="H261" s="151">
        <f t="shared" si="5"/>
        <v>0</v>
      </c>
      <c r="I261" s="151">
        <f t="shared" si="5"/>
        <v>0</v>
      </c>
      <c r="J261" s="151">
        <f t="shared" si="5"/>
        <v>0</v>
      </c>
      <c r="K261" s="151">
        <f t="shared" si="5"/>
        <v>0</v>
      </c>
      <c r="L261" s="151">
        <f t="shared" si="5"/>
        <v>0</v>
      </c>
      <c r="M261" s="152">
        <f t="shared" si="5"/>
        <v>261837837</v>
      </c>
      <c r="N261" s="45" t="s">
        <v>10</v>
      </c>
      <c r="O261" s="45" t="s">
        <v>280</v>
      </c>
    </row>
    <row r="262" spans="1:30" ht="16.5" customHeight="1" thickBot="1">
      <c r="A262" s="9"/>
      <c r="B262" s="9"/>
      <c r="C262" s="9"/>
      <c r="L262" s="7"/>
      <c r="M262" s="7"/>
      <c r="N262" s="7"/>
    </row>
    <row r="263" spans="1:30" ht="16" thickBot="1">
      <c r="A263" s="9"/>
      <c r="B263" s="9"/>
      <c r="C263" s="9"/>
      <c r="D263" s="303" t="s">
        <v>284</v>
      </c>
      <c r="E263" s="304" t="s">
        <v>102</v>
      </c>
      <c r="F263" s="304"/>
      <c r="G263" s="304"/>
      <c r="H263" s="304"/>
      <c r="I263" s="304"/>
      <c r="J263" s="304"/>
      <c r="K263" s="304"/>
      <c r="L263" s="304"/>
      <c r="M263" s="305"/>
      <c r="N263" s="45" t="s">
        <v>282</v>
      </c>
      <c r="O263" s="45" t="s">
        <v>283</v>
      </c>
    </row>
    <row r="264" spans="1:30" ht="16.5" customHeight="1">
      <c r="A264" s="9"/>
      <c r="B264" s="9"/>
      <c r="C264" s="9"/>
      <c r="D264" s="165" t="s">
        <v>286</v>
      </c>
      <c r="E264" s="166" t="str">
        <f>+E232</f>
        <v>Nord Stream AG (PE Germany)</v>
      </c>
      <c r="F264" s="166" t="str">
        <f t="shared" ref="F264:L264" si="6">+F232</f>
        <v>Nord Stream AG (Stateless Permanent Establishment Germany)</v>
      </c>
      <c r="G264" s="166">
        <f t="shared" si="6"/>
        <v>0</v>
      </c>
      <c r="H264" s="166">
        <f t="shared" si="6"/>
        <v>0</v>
      </c>
      <c r="I264" s="166">
        <f t="shared" si="6"/>
        <v>0</v>
      </c>
      <c r="J264" s="166">
        <f t="shared" si="6"/>
        <v>0</v>
      </c>
      <c r="K264" s="166">
        <f t="shared" si="6"/>
        <v>0</v>
      </c>
      <c r="L264" s="166">
        <f t="shared" si="6"/>
        <v>0</v>
      </c>
      <c r="M264" s="167" t="str">
        <f>+M232</f>
        <v>Total amount</v>
      </c>
      <c r="N264" s="45" t="s">
        <v>245</v>
      </c>
      <c r="O264" s="45" t="s">
        <v>285</v>
      </c>
    </row>
    <row r="265" spans="1:30" ht="48" customHeight="1">
      <c r="A265" s="9"/>
      <c r="B265" s="9"/>
      <c r="C265" s="9"/>
      <c r="D265" s="161" t="s">
        <v>700</v>
      </c>
      <c r="E265" s="42">
        <v>234576534</v>
      </c>
      <c r="F265" s="42">
        <v>23457653</v>
      </c>
      <c r="G265" s="42">
        <v>0</v>
      </c>
      <c r="H265" s="42">
        <v>0</v>
      </c>
      <c r="I265" s="42">
        <v>0</v>
      </c>
      <c r="J265" s="42">
        <v>0</v>
      </c>
      <c r="K265" s="42">
        <v>0</v>
      </c>
      <c r="L265" s="42">
        <v>0</v>
      </c>
      <c r="M265" s="150">
        <f>SUM(E265:L265)</f>
        <v>258034187</v>
      </c>
      <c r="N265" s="45" t="s">
        <v>7</v>
      </c>
      <c r="O265" s="45" t="s">
        <v>287</v>
      </c>
      <c r="P265" s="289" t="s">
        <v>288</v>
      </c>
      <c r="Q265" s="290"/>
      <c r="R265" s="290"/>
      <c r="S265" s="290"/>
      <c r="T265" s="290"/>
      <c r="U265" s="290"/>
      <c r="V265" s="290"/>
      <c r="W265" s="290"/>
      <c r="X265" s="290"/>
      <c r="Y265" s="290"/>
      <c r="Z265" s="290"/>
      <c r="AA265" s="290"/>
      <c r="AB265" s="290"/>
      <c r="AC265" s="290"/>
      <c r="AD265" s="291"/>
    </row>
    <row r="266" spans="1:30" ht="16.5" customHeight="1">
      <c r="A266" s="9"/>
      <c r="B266" s="9"/>
      <c r="C266" s="9"/>
      <c r="D266" s="161" t="s">
        <v>710</v>
      </c>
      <c r="E266" s="42">
        <v>0</v>
      </c>
      <c r="F266" s="42">
        <v>0</v>
      </c>
      <c r="G266" s="42">
        <v>0</v>
      </c>
      <c r="H266" s="42">
        <v>0</v>
      </c>
      <c r="I266" s="42">
        <v>0</v>
      </c>
      <c r="J266" s="42">
        <v>0</v>
      </c>
      <c r="K266" s="42">
        <v>0</v>
      </c>
      <c r="L266" s="42">
        <v>0</v>
      </c>
      <c r="M266" s="150"/>
      <c r="N266" s="45" t="s">
        <v>289</v>
      </c>
      <c r="O266" s="45" t="s">
        <v>290</v>
      </c>
    </row>
    <row r="267" spans="1:30" ht="16.5" customHeight="1">
      <c r="A267" s="9"/>
      <c r="B267" s="9"/>
      <c r="C267" s="9"/>
      <c r="D267" s="161" t="s">
        <v>701</v>
      </c>
      <c r="E267" s="42" t="s">
        <v>714</v>
      </c>
      <c r="F267" s="42" t="s">
        <v>714</v>
      </c>
      <c r="G267" s="42" t="s">
        <v>714</v>
      </c>
      <c r="H267" s="42" t="s">
        <v>714</v>
      </c>
      <c r="I267" s="42" t="s">
        <v>714</v>
      </c>
      <c r="J267" s="42" t="s">
        <v>714</v>
      </c>
      <c r="K267" s="42" t="s">
        <v>714</v>
      </c>
      <c r="L267" s="42" t="s">
        <v>714</v>
      </c>
      <c r="M267" s="150"/>
      <c r="N267" s="45" t="s">
        <v>291</v>
      </c>
      <c r="O267" s="45" t="s">
        <v>292</v>
      </c>
    </row>
    <row r="268" spans="1:30" ht="16.5" customHeight="1">
      <c r="A268" s="9"/>
      <c r="B268" s="9"/>
      <c r="C268" s="9"/>
      <c r="D268" s="161" t="s">
        <v>702</v>
      </c>
      <c r="E268" s="42" t="s">
        <v>716</v>
      </c>
      <c r="F268" s="42" t="s">
        <v>716</v>
      </c>
      <c r="G268" s="42" t="s">
        <v>716</v>
      </c>
      <c r="H268" s="42" t="s">
        <v>716</v>
      </c>
      <c r="I268" s="42" t="s">
        <v>716</v>
      </c>
      <c r="J268" s="42" t="s">
        <v>716</v>
      </c>
      <c r="K268" s="42" t="s">
        <v>716</v>
      </c>
      <c r="L268" s="42" t="s">
        <v>716</v>
      </c>
      <c r="M268" s="150"/>
      <c r="N268" s="45" t="s">
        <v>293</v>
      </c>
      <c r="O268" s="45" t="s">
        <v>294</v>
      </c>
    </row>
    <row r="269" spans="1:30" ht="16.5" customHeight="1">
      <c r="A269" s="9"/>
      <c r="B269" s="9"/>
      <c r="C269" s="9"/>
      <c r="D269" s="161" t="s">
        <v>703</v>
      </c>
      <c r="E269" s="42">
        <v>0</v>
      </c>
      <c r="F269" s="42">
        <v>0</v>
      </c>
      <c r="G269" s="42">
        <v>0</v>
      </c>
      <c r="H269" s="42">
        <v>0</v>
      </c>
      <c r="I269" s="42">
        <v>0</v>
      </c>
      <c r="J269" s="42">
        <v>0</v>
      </c>
      <c r="K269" s="42">
        <v>0</v>
      </c>
      <c r="L269" s="42">
        <v>0</v>
      </c>
      <c r="M269" s="150">
        <f>SUM(E269:L269)</f>
        <v>0</v>
      </c>
      <c r="N269" s="45" t="s">
        <v>295</v>
      </c>
      <c r="O269" s="45" t="s">
        <v>296</v>
      </c>
    </row>
    <row r="270" spans="1:30" ht="16.5" customHeight="1">
      <c r="A270" s="9"/>
      <c r="B270" s="9"/>
      <c r="C270" s="9"/>
      <c r="D270" s="161" t="s">
        <v>704</v>
      </c>
      <c r="E270" s="42">
        <v>0</v>
      </c>
      <c r="F270" s="42">
        <v>0</v>
      </c>
      <c r="G270" s="42">
        <v>0</v>
      </c>
      <c r="H270" s="42">
        <v>0</v>
      </c>
      <c r="I270" s="42">
        <v>0</v>
      </c>
      <c r="J270" s="42">
        <v>0</v>
      </c>
      <c r="K270" s="42">
        <v>0</v>
      </c>
      <c r="L270" s="42">
        <v>0</v>
      </c>
      <c r="M270" s="150">
        <f>SUM(E270:L270)</f>
        <v>0</v>
      </c>
      <c r="N270" s="45" t="s">
        <v>297</v>
      </c>
      <c r="O270" s="45" t="s">
        <v>298</v>
      </c>
    </row>
    <row r="271" spans="1:30" ht="16.5" customHeight="1" thickBot="1">
      <c r="A271" s="9"/>
      <c r="B271" s="9"/>
      <c r="C271" s="9"/>
      <c r="D271" s="162" t="s">
        <v>705</v>
      </c>
      <c r="E271" s="163">
        <f>+E265+E269+E270</f>
        <v>234576534</v>
      </c>
      <c r="F271" s="163">
        <f t="shared" ref="F271:M271" si="7">+F265+F269+F270</f>
        <v>23457653</v>
      </c>
      <c r="G271" s="163">
        <f t="shared" si="7"/>
        <v>0</v>
      </c>
      <c r="H271" s="163">
        <f t="shared" si="7"/>
        <v>0</v>
      </c>
      <c r="I271" s="163">
        <f t="shared" si="7"/>
        <v>0</v>
      </c>
      <c r="J271" s="163">
        <f t="shared" si="7"/>
        <v>0</v>
      </c>
      <c r="K271" s="163">
        <f t="shared" si="7"/>
        <v>0</v>
      </c>
      <c r="L271" s="163">
        <f t="shared" si="7"/>
        <v>0</v>
      </c>
      <c r="M271" s="163">
        <f t="shared" si="7"/>
        <v>258034187</v>
      </c>
      <c r="N271" s="45" t="s">
        <v>19</v>
      </c>
      <c r="O271" s="45" t="s">
        <v>299</v>
      </c>
    </row>
    <row r="272" spans="1:30" ht="16" thickBot="1">
      <c r="A272" s="9"/>
      <c r="B272" s="9"/>
      <c r="C272" s="9"/>
      <c r="D272" s="56"/>
      <c r="E272" s="56"/>
      <c r="F272" s="56"/>
      <c r="G272" s="56"/>
      <c r="H272" s="56"/>
      <c r="I272" s="56"/>
      <c r="J272" s="56"/>
      <c r="K272" s="56"/>
      <c r="L272" s="56"/>
      <c r="M272" s="56"/>
      <c r="N272" s="56"/>
    </row>
    <row r="273" spans="1:15" ht="16" thickBot="1">
      <c r="A273" s="9"/>
      <c r="B273" s="9"/>
      <c r="C273" s="9"/>
      <c r="D273" s="361" t="s">
        <v>706</v>
      </c>
      <c r="E273" s="362" t="s">
        <v>102</v>
      </c>
      <c r="F273" s="362"/>
      <c r="G273" s="362"/>
      <c r="H273" s="362"/>
      <c r="I273" s="362"/>
      <c r="J273" s="362"/>
      <c r="K273" s="362"/>
      <c r="L273" s="362"/>
      <c r="M273" s="363"/>
      <c r="N273" s="45" t="s">
        <v>300</v>
      </c>
      <c r="O273" s="45" t="s">
        <v>301</v>
      </c>
    </row>
    <row r="274" spans="1:15">
      <c r="A274" s="9"/>
      <c r="B274" s="9"/>
      <c r="C274" s="9"/>
      <c r="D274" s="168" t="s">
        <v>707</v>
      </c>
      <c r="E274" s="169" t="str">
        <f>+E264</f>
        <v>Nord Stream AG (PE Germany)</v>
      </c>
      <c r="F274" s="169" t="str">
        <f t="shared" ref="F274:M274" si="8">+F264</f>
        <v>Nord Stream AG (Stateless Permanent Establishment Germany)</v>
      </c>
      <c r="G274" s="169">
        <f t="shared" si="8"/>
        <v>0</v>
      </c>
      <c r="H274" s="169">
        <f t="shared" si="8"/>
        <v>0</v>
      </c>
      <c r="I274" s="169">
        <f t="shared" si="8"/>
        <v>0</v>
      </c>
      <c r="J274" s="169">
        <f t="shared" si="8"/>
        <v>0</v>
      </c>
      <c r="K274" s="169">
        <f t="shared" si="8"/>
        <v>0</v>
      </c>
      <c r="L274" s="169">
        <f t="shared" si="8"/>
        <v>0</v>
      </c>
      <c r="M274" s="170" t="str">
        <f t="shared" si="8"/>
        <v>Total amount</v>
      </c>
      <c r="N274" s="45" t="s">
        <v>245</v>
      </c>
      <c r="O274" s="45" t="s">
        <v>302</v>
      </c>
    </row>
    <row r="275" spans="1:15">
      <c r="A275" s="9"/>
      <c r="B275" s="9"/>
      <c r="C275" s="9"/>
      <c r="D275" s="161" t="s">
        <v>708</v>
      </c>
      <c r="E275" s="42">
        <v>0</v>
      </c>
      <c r="F275" s="42">
        <v>0</v>
      </c>
      <c r="G275" s="42">
        <v>0</v>
      </c>
      <c r="H275" s="42">
        <v>0</v>
      </c>
      <c r="I275" s="42">
        <v>0</v>
      </c>
      <c r="J275" s="42">
        <v>0</v>
      </c>
      <c r="K275" s="42">
        <v>0</v>
      </c>
      <c r="L275" s="42">
        <v>0</v>
      </c>
      <c r="M275" s="150">
        <f>SUM(E275:L275)</f>
        <v>0</v>
      </c>
      <c r="N275" s="45" t="s">
        <v>289</v>
      </c>
      <c r="O275" s="45" t="s">
        <v>303</v>
      </c>
    </row>
    <row r="276" spans="1:15">
      <c r="A276" s="9"/>
      <c r="B276" s="9"/>
      <c r="C276" s="9"/>
      <c r="D276" s="161" t="s">
        <v>305</v>
      </c>
      <c r="E276" s="42">
        <v>0</v>
      </c>
      <c r="F276" s="42">
        <v>0</v>
      </c>
      <c r="G276" s="42">
        <v>0</v>
      </c>
      <c r="H276" s="42">
        <v>0</v>
      </c>
      <c r="I276" s="42">
        <v>0</v>
      </c>
      <c r="J276" s="42">
        <v>0</v>
      </c>
      <c r="K276" s="42">
        <v>0</v>
      </c>
      <c r="L276" s="42">
        <v>0</v>
      </c>
      <c r="M276" s="150">
        <f>SUM(E276:L276)</f>
        <v>0</v>
      </c>
      <c r="N276" s="45" t="s">
        <v>291</v>
      </c>
      <c r="O276" s="45" t="s">
        <v>304</v>
      </c>
    </row>
    <row r="277" spans="1:15">
      <c r="A277" s="9"/>
      <c r="B277" s="9"/>
      <c r="C277" s="9"/>
      <c r="D277" s="161" t="s">
        <v>709</v>
      </c>
      <c r="E277" s="42">
        <v>0</v>
      </c>
      <c r="F277" s="42">
        <v>0</v>
      </c>
      <c r="G277" s="42">
        <v>0</v>
      </c>
      <c r="H277" s="42">
        <v>0</v>
      </c>
      <c r="I277" s="42">
        <v>0</v>
      </c>
      <c r="J277" s="42">
        <v>0</v>
      </c>
      <c r="K277" s="42">
        <v>0</v>
      </c>
      <c r="L277" s="42">
        <v>0</v>
      </c>
      <c r="M277" s="150">
        <f>SUM(E277:L277)</f>
        <v>0</v>
      </c>
      <c r="N277" s="45" t="s">
        <v>293</v>
      </c>
      <c r="O277" s="45" t="s">
        <v>306</v>
      </c>
    </row>
    <row r="278" spans="1:15">
      <c r="A278" s="9"/>
      <c r="B278" s="9"/>
      <c r="C278" s="9"/>
      <c r="D278" s="161" t="s">
        <v>711</v>
      </c>
      <c r="E278" s="172">
        <v>0</v>
      </c>
      <c r="F278" s="172">
        <v>0</v>
      </c>
      <c r="G278" s="172">
        <v>0</v>
      </c>
      <c r="H278" s="172">
        <v>0</v>
      </c>
      <c r="I278" s="172">
        <v>0</v>
      </c>
      <c r="J278" s="172">
        <v>0</v>
      </c>
      <c r="K278" s="172">
        <v>0</v>
      </c>
      <c r="L278" s="172">
        <v>0</v>
      </c>
      <c r="M278" s="150">
        <f>SUM(E278:L278)</f>
        <v>0</v>
      </c>
      <c r="N278" s="45"/>
      <c r="O278" s="45"/>
    </row>
    <row r="279" spans="1:15" ht="25.5" thickBot="1">
      <c r="A279" s="9"/>
      <c r="B279" s="9"/>
      <c r="C279" s="9"/>
      <c r="D279" s="162" t="s">
        <v>712</v>
      </c>
      <c r="E279" s="106">
        <v>0</v>
      </c>
      <c r="F279" s="106">
        <v>0</v>
      </c>
      <c r="G279" s="106">
        <v>0</v>
      </c>
      <c r="H279" s="106">
        <v>0</v>
      </c>
      <c r="I279" s="106">
        <v>0</v>
      </c>
      <c r="J279" s="106">
        <v>0</v>
      </c>
      <c r="K279" s="106">
        <v>0</v>
      </c>
      <c r="L279" s="106">
        <v>0</v>
      </c>
      <c r="M279" s="164">
        <f>SUM(M275:M277)</f>
        <v>0</v>
      </c>
      <c r="N279" s="45" t="s">
        <v>263</v>
      </c>
      <c r="O279" s="45" t="s">
        <v>307</v>
      </c>
    </row>
    <row r="280" spans="1:15" ht="16" thickBot="1">
      <c r="A280" s="56"/>
      <c r="B280" s="56"/>
      <c r="C280" s="56"/>
      <c r="D280" s="56"/>
      <c r="E280" s="56"/>
      <c r="F280" s="56"/>
      <c r="G280" s="56"/>
      <c r="H280" s="56"/>
      <c r="I280" s="56"/>
      <c r="J280" s="56"/>
      <c r="K280" s="56"/>
      <c r="L280" s="56"/>
      <c r="M280" s="56"/>
      <c r="N280" s="56"/>
    </row>
    <row r="281" spans="1:15" ht="16" thickBot="1">
      <c r="A281" s="56"/>
      <c r="B281" s="56"/>
      <c r="C281" s="56"/>
      <c r="D281" s="361" t="s">
        <v>309</v>
      </c>
      <c r="E281" s="362" t="s">
        <v>102</v>
      </c>
      <c r="F281" s="362"/>
      <c r="G281" s="362"/>
      <c r="H281" s="362"/>
      <c r="I281" s="362"/>
      <c r="J281" s="362"/>
      <c r="K281" s="362"/>
      <c r="L281" s="362"/>
      <c r="M281" s="363"/>
      <c r="N281" s="56"/>
      <c r="O281" s="45" t="s">
        <v>308</v>
      </c>
    </row>
    <row r="282" spans="1:15">
      <c r="A282" s="56"/>
      <c r="B282" s="56"/>
      <c r="C282" s="56"/>
      <c r="D282" s="168" t="s">
        <v>713</v>
      </c>
      <c r="E282" s="169" t="str">
        <f>+E274</f>
        <v>Nord Stream AG (PE Germany)</v>
      </c>
      <c r="F282" s="169" t="str">
        <f t="shared" ref="F282:M282" si="9">+F274</f>
        <v>Nord Stream AG (Stateless Permanent Establishment Germany)</v>
      </c>
      <c r="G282" s="169">
        <f t="shared" si="9"/>
        <v>0</v>
      </c>
      <c r="H282" s="169">
        <f t="shared" si="9"/>
        <v>0</v>
      </c>
      <c r="I282" s="169">
        <f t="shared" si="9"/>
        <v>0</v>
      </c>
      <c r="J282" s="169">
        <f t="shared" si="9"/>
        <v>0</v>
      </c>
      <c r="K282" s="169">
        <f t="shared" si="9"/>
        <v>0</v>
      </c>
      <c r="L282" s="169">
        <f t="shared" si="9"/>
        <v>0</v>
      </c>
      <c r="M282" s="170" t="str">
        <f t="shared" si="9"/>
        <v>Total amount</v>
      </c>
      <c r="N282" s="56"/>
      <c r="O282" s="45" t="s">
        <v>310</v>
      </c>
    </row>
    <row r="283" spans="1:15">
      <c r="A283" s="56"/>
      <c r="B283" s="56"/>
      <c r="C283" s="56"/>
      <c r="D283" s="161" t="s">
        <v>312</v>
      </c>
      <c r="E283" s="42">
        <v>0</v>
      </c>
      <c r="F283" s="42">
        <v>0</v>
      </c>
      <c r="G283" s="42">
        <v>0</v>
      </c>
      <c r="H283" s="42">
        <v>0</v>
      </c>
      <c r="I283" s="42">
        <v>0</v>
      </c>
      <c r="J283" s="42">
        <v>0</v>
      </c>
      <c r="K283" s="42">
        <v>0</v>
      </c>
      <c r="L283" s="42">
        <v>0</v>
      </c>
      <c r="M283" s="150">
        <f>SUM(E283:L283)</f>
        <v>0</v>
      </c>
      <c r="N283" s="56"/>
      <c r="O283" s="45" t="s">
        <v>311</v>
      </c>
    </row>
    <row r="284" spans="1:15">
      <c r="A284" s="56"/>
      <c r="B284" s="56"/>
      <c r="C284" s="56"/>
      <c r="D284" s="161" t="s">
        <v>314</v>
      </c>
      <c r="E284" s="42" t="s">
        <v>714</v>
      </c>
      <c r="F284" s="42" t="s">
        <v>714</v>
      </c>
      <c r="G284" s="42" t="s">
        <v>714</v>
      </c>
      <c r="H284" s="42" t="s">
        <v>714</v>
      </c>
      <c r="I284" s="42" t="s">
        <v>714</v>
      </c>
      <c r="J284" s="42" t="s">
        <v>714</v>
      </c>
      <c r="K284" s="42" t="s">
        <v>714</v>
      </c>
      <c r="L284" s="42" t="s">
        <v>714</v>
      </c>
      <c r="M284" s="150"/>
      <c r="N284" s="56"/>
      <c r="O284" s="45" t="s">
        <v>313</v>
      </c>
    </row>
    <row r="285" spans="1:15">
      <c r="A285" s="56"/>
      <c r="B285" s="56"/>
      <c r="C285" s="56"/>
      <c r="D285" s="161" t="s">
        <v>316</v>
      </c>
      <c r="E285" s="42" t="s">
        <v>715</v>
      </c>
      <c r="F285" s="42" t="s">
        <v>715</v>
      </c>
      <c r="G285" s="42" t="s">
        <v>715</v>
      </c>
      <c r="H285" s="42" t="s">
        <v>715</v>
      </c>
      <c r="I285" s="42" t="s">
        <v>715</v>
      </c>
      <c r="J285" s="42" t="s">
        <v>715</v>
      </c>
      <c r="K285" s="42" t="s">
        <v>715</v>
      </c>
      <c r="L285" s="42" t="s">
        <v>715</v>
      </c>
      <c r="M285" s="150"/>
      <c r="N285" s="56"/>
      <c r="O285" s="45" t="s">
        <v>315</v>
      </c>
    </row>
    <row r="286" spans="1:15" ht="16" thickBot="1">
      <c r="A286" s="56"/>
      <c r="B286" s="56"/>
      <c r="C286" s="56"/>
      <c r="D286" s="162" t="s">
        <v>318</v>
      </c>
      <c r="E286" s="106">
        <v>0</v>
      </c>
      <c r="F286" s="106">
        <v>0</v>
      </c>
      <c r="G286" s="106">
        <v>0</v>
      </c>
      <c r="H286" s="106">
        <v>0</v>
      </c>
      <c r="I286" s="106">
        <v>0</v>
      </c>
      <c r="J286" s="106"/>
      <c r="K286" s="106"/>
      <c r="L286" s="106"/>
      <c r="M286" s="164">
        <f>SUM(E286:L286)</f>
        <v>0</v>
      </c>
      <c r="N286" s="56"/>
      <c r="O286" s="45" t="s">
        <v>317</v>
      </c>
    </row>
    <row r="287" spans="1:15">
      <c r="A287" s="56"/>
      <c r="B287" s="56"/>
      <c r="C287" s="56"/>
      <c r="D287" s="2"/>
      <c r="E287" s="56"/>
      <c r="F287" s="56"/>
      <c r="G287" s="56"/>
      <c r="H287" s="56"/>
      <c r="I287" s="56"/>
      <c r="J287" s="56"/>
      <c r="K287" s="56"/>
      <c r="L287" s="56"/>
      <c r="M287" s="56"/>
      <c r="N287" s="56"/>
    </row>
    <row r="288" spans="1:15" ht="16" thickBot="1">
      <c r="A288" s="56"/>
      <c r="B288" s="56"/>
      <c r="C288" s="56"/>
      <c r="E288" s="56"/>
      <c r="F288" s="56"/>
      <c r="G288" s="56"/>
      <c r="H288" s="56"/>
      <c r="I288" s="56"/>
      <c r="J288" s="56"/>
      <c r="K288" s="56"/>
      <c r="L288" s="56"/>
      <c r="M288" s="56"/>
      <c r="N288" s="56"/>
    </row>
    <row r="289" spans="1:30" ht="16" thickBot="1">
      <c r="A289" s="56"/>
      <c r="B289" s="56"/>
      <c r="C289" s="56"/>
      <c r="D289" s="296" t="s">
        <v>319</v>
      </c>
      <c r="E289" s="297"/>
      <c r="F289" s="297"/>
      <c r="G289" s="297"/>
      <c r="H289" s="297"/>
      <c r="I289" s="297"/>
      <c r="J289" s="297"/>
      <c r="K289" s="297"/>
      <c r="L289" s="297"/>
      <c r="M289" s="298"/>
      <c r="N289" s="7"/>
    </row>
    <row r="290" spans="1:30" ht="16" thickBot="1">
      <c r="A290" s="56"/>
      <c r="B290" s="56"/>
      <c r="C290" s="56"/>
      <c r="D290" s="296" t="s">
        <v>321</v>
      </c>
      <c r="E290" s="297"/>
      <c r="F290" s="297"/>
      <c r="G290" s="297"/>
      <c r="H290" s="297"/>
      <c r="I290" s="297"/>
      <c r="J290" s="297"/>
      <c r="K290" s="297"/>
      <c r="L290" s="297"/>
      <c r="M290" s="298"/>
      <c r="N290" s="45"/>
      <c r="O290" s="45" t="s">
        <v>320</v>
      </c>
    </row>
    <row r="291" spans="1:30">
      <c r="A291" s="56"/>
      <c r="B291" s="56"/>
      <c r="C291" s="56"/>
      <c r="D291" s="174" t="s">
        <v>247</v>
      </c>
      <c r="E291" s="169" t="str">
        <f>+E282</f>
        <v>Nord Stream AG (PE Germany)</v>
      </c>
      <c r="F291" s="169" t="str">
        <f t="shared" ref="F291:M291" si="10">+F282</f>
        <v>Nord Stream AG (Stateless Permanent Establishment Germany)</v>
      </c>
      <c r="G291" s="169">
        <f t="shared" si="10"/>
        <v>0</v>
      </c>
      <c r="H291" s="169">
        <f t="shared" si="10"/>
        <v>0</v>
      </c>
      <c r="I291" s="169">
        <f t="shared" si="10"/>
        <v>0</v>
      </c>
      <c r="J291" s="169">
        <f t="shared" si="10"/>
        <v>0</v>
      </c>
      <c r="K291" s="169">
        <f t="shared" si="10"/>
        <v>0</v>
      </c>
      <c r="L291" s="169">
        <f t="shared" si="10"/>
        <v>0</v>
      </c>
      <c r="M291" s="170" t="str">
        <f t="shared" si="10"/>
        <v>Total amount</v>
      </c>
      <c r="N291" s="45"/>
      <c r="O291" s="45" t="s">
        <v>322</v>
      </c>
    </row>
    <row r="292" spans="1:30" ht="16.5" customHeight="1">
      <c r="A292" s="56"/>
      <c r="B292" s="56"/>
      <c r="C292" s="56"/>
      <c r="D292" s="175" t="s">
        <v>325</v>
      </c>
      <c r="E292" s="173">
        <f>+E321</f>
        <v>3457864</v>
      </c>
      <c r="F292" s="173">
        <f t="shared" ref="F292:L292" si="11">+F321</f>
        <v>345786</v>
      </c>
      <c r="G292" s="173">
        <f>+G321</f>
        <v>0</v>
      </c>
      <c r="H292" s="173">
        <f t="shared" si="11"/>
        <v>0</v>
      </c>
      <c r="I292" s="173">
        <f t="shared" si="11"/>
        <v>0</v>
      </c>
      <c r="J292" s="173">
        <f t="shared" si="11"/>
        <v>0</v>
      </c>
      <c r="K292" s="173">
        <f t="shared" si="11"/>
        <v>0</v>
      </c>
      <c r="L292" s="173">
        <f t="shared" si="11"/>
        <v>0</v>
      </c>
      <c r="M292" s="150">
        <f>SUM(E292:L292)</f>
        <v>3803650</v>
      </c>
      <c r="N292" s="45" t="s">
        <v>53</v>
      </c>
      <c r="O292" s="45" t="s">
        <v>324</v>
      </c>
    </row>
    <row r="293" spans="1:30">
      <c r="A293" s="56"/>
      <c r="B293" s="56"/>
      <c r="C293" s="56"/>
      <c r="D293" s="300" t="s">
        <v>250</v>
      </c>
      <c r="E293" s="301"/>
      <c r="F293" s="301"/>
      <c r="G293" s="301"/>
      <c r="H293" s="301"/>
      <c r="I293" s="301"/>
      <c r="J293" s="301"/>
      <c r="K293" s="301"/>
      <c r="L293" s="301"/>
      <c r="M293" s="302"/>
      <c r="N293" s="45" t="s">
        <v>137</v>
      </c>
      <c r="O293" s="45" t="s">
        <v>717</v>
      </c>
    </row>
    <row r="294" spans="1:30" ht="31" customHeight="1">
      <c r="A294" s="56"/>
      <c r="B294" s="56"/>
      <c r="C294" s="56"/>
      <c r="D294" s="24" t="s">
        <v>539</v>
      </c>
      <c r="E294" s="42">
        <v>0</v>
      </c>
      <c r="F294" s="42">
        <v>0</v>
      </c>
      <c r="G294" s="42">
        <v>0</v>
      </c>
      <c r="H294" s="42">
        <v>0</v>
      </c>
      <c r="I294" s="42">
        <v>0</v>
      </c>
      <c r="J294" s="42"/>
      <c r="K294" s="42"/>
      <c r="L294" s="42"/>
      <c r="M294" s="150">
        <f>SUM(E294:L294)</f>
        <v>0</v>
      </c>
      <c r="N294" s="45" t="s">
        <v>57</v>
      </c>
      <c r="O294" s="45" t="s">
        <v>718</v>
      </c>
      <c r="P294" s="289" t="s">
        <v>326</v>
      </c>
      <c r="Q294" s="290"/>
      <c r="R294" s="290"/>
      <c r="S294" s="290"/>
      <c r="T294" s="290"/>
      <c r="U294" s="290"/>
      <c r="V294" s="290"/>
      <c r="W294" s="290"/>
      <c r="X294" s="290"/>
      <c r="Y294" s="290"/>
      <c r="Z294" s="290"/>
      <c r="AA294" s="290"/>
      <c r="AB294" s="290"/>
      <c r="AC294" s="290"/>
      <c r="AD294" s="291"/>
    </row>
    <row r="295" spans="1:30" ht="52" customHeight="1">
      <c r="A295" s="56"/>
      <c r="B295" s="56"/>
      <c r="C295" s="56"/>
      <c r="D295" s="24" t="s">
        <v>730</v>
      </c>
      <c r="E295" s="42">
        <v>0</v>
      </c>
      <c r="F295" s="42">
        <v>0</v>
      </c>
      <c r="G295" s="42">
        <v>0</v>
      </c>
      <c r="H295" s="42">
        <v>0</v>
      </c>
      <c r="I295" s="42">
        <v>0</v>
      </c>
      <c r="J295" s="42"/>
      <c r="K295" s="42"/>
      <c r="L295" s="42"/>
      <c r="M295" s="150">
        <f t="shared" ref="M295:M310" si="12">SUM(E295:L295)</f>
        <v>0</v>
      </c>
      <c r="N295" s="45" t="s">
        <v>61</v>
      </c>
      <c r="O295" s="45" t="s">
        <v>719</v>
      </c>
      <c r="P295" s="289" t="s">
        <v>327</v>
      </c>
      <c r="Q295" s="290"/>
      <c r="R295" s="290"/>
      <c r="S295" s="290"/>
      <c r="T295" s="290"/>
      <c r="U295" s="290"/>
      <c r="V295" s="290"/>
      <c r="W295" s="290"/>
      <c r="X295" s="290"/>
      <c r="Y295" s="290"/>
      <c r="Z295" s="290"/>
      <c r="AA295" s="290"/>
      <c r="AB295" s="290"/>
      <c r="AC295" s="290"/>
      <c r="AD295" s="291"/>
    </row>
    <row r="296" spans="1:30" ht="56.5" customHeight="1">
      <c r="A296" s="56"/>
      <c r="B296" s="56"/>
      <c r="C296" s="56"/>
      <c r="D296" s="24" t="s">
        <v>731</v>
      </c>
      <c r="E296" s="42">
        <v>0</v>
      </c>
      <c r="F296" s="42">
        <v>0</v>
      </c>
      <c r="G296" s="42">
        <v>0</v>
      </c>
      <c r="H296" s="42">
        <v>0</v>
      </c>
      <c r="I296" s="42">
        <v>0</v>
      </c>
      <c r="J296" s="42"/>
      <c r="K296" s="42"/>
      <c r="L296" s="42"/>
      <c r="M296" s="150">
        <f t="shared" si="12"/>
        <v>0</v>
      </c>
      <c r="N296" s="45" t="s">
        <v>63</v>
      </c>
      <c r="O296" s="45" t="s">
        <v>328</v>
      </c>
      <c r="P296" s="289" t="s">
        <v>329</v>
      </c>
      <c r="Q296" s="290"/>
      <c r="R296" s="290"/>
      <c r="S296" s="290"/>
      <c r="T296" s="290"/>
      <c r="U296" s="290"/>
      <c r="V296" s="290"/>
      <c r="W296" s="290"/>
      <c r="X296" s="290"/>
      <c r="Y296" s="290"/>
      <c r="Z296" s="290"/>
      <c r="AA296" s="290"/>
      <c r="AB296" s="290"/>
      <c r="AC296" s="290"/>
      <c r="AD296" s="291"/>
    </row>
    <row r="297" spans="1:30" ht="41" customHeight="1">
      <c r="A297" s="56"/>
      <c r="B297" s="56"/>
      <c r="C297" s="56"/>
      <c r="D297" s="24" t="s">
        <v>734</v>
      </c>
      <c r="E297" s="42">
        <v>0</v>
      </c>
      <c r="F297" s="42">
        <v>0</v>
      </c>
      <c r="G297" s="42">
        <v>0</v>
      </c>
      <c r="H297" s="42">
        <v>0</v>
      </c>
      <c r="I297" s="42">
        <v>0</v>
      </c>
      <c r="J297" s="42"/>
      <c r="K297" s="42"/>
      <c r="L297" s="42"/>
      <c r="M297" s="150">
        <f t="shared" si="12"/>
        <v>0</v>
      </c>
      <c r="N297" s="45" t="s">
        <v>66</v>
      </c>
      <c r="O297" s="45" t="s">
        <v>720</v>
      </c>
      <c r="P297" s="289" t="s">
        <v>330</v>
      </c>
      <c r="Q297" s="290"/>
      <c r="R297" s="290"/>
      <c r="S297" s="290"/>
      <c r="T297" s="290"/>
      <c r="U297" s="290"/>
      <c r="V297" s="290"/>
      <c r="W297" s="290"/>
      <c r="X297" s="290"/>
      <c r="Y297" s="290"/>
      <c r="Z297" s="290"/>
      <c r="AA297" s="290"/>
      <c r="AB297" s="290"/>
      <c r="AC297" s="290"/>
      <c r="AD297" s="291"/>
    </row>
    <row r="298" spans="1:30" ht="36.5" customHeight="1">
      <c r="A298" s="56"/>
      <c r="B298" s="56"/>
      <c r="C298" s="56"/>
      <c r="D298" s="24" t="s">
        <v>732</v>
      </c>
      <c r="E298" s="42">
        <v>0</v>
      </c>
      <c r="F298" s="42">
        <v>0</v>
      </c>
      <c r="G298" s="42">
        <v>0</v>
      </c>
      <c r="H298" s="42">
        <v>0</v>
      </c>
      <c r="I298" s="42">
        <v>0</v>
      </c>
      <c r="J298" s="42"/>
      <c r="K298" s="42"/>
      <c r="L298" s="42"/>
      <c r="M298" s="150">
        <f t="shared" si="12"/>
        <v>0</v>
      </c>
      <c r="N298" s="45" t="s">
        <v>68</v>
      </c>
      <c r="O298" s="45" t="s">
        <v>721</v>
      </c>
      <c r="P298" s="289" t="s">
        <v>331</v>
      </c>
      <c r="Q298" s="290"/>
      <c r="R298" s="290"/>
      <c r="S298" s="290"/>
      <c r="T298" s="290"/>
      <c r="U298" s="290"/>
      <c r="V298" s="290"/>
      <c r="W298" s="290"/>
      <c r="X298" s="290"/>
      <c r="Y298" s="290"/>
      <c r="Z298" s="290"/>
      <c r="AA298" s="290"/>
      <c r="AB298" s="290"/>
      <c r="AC298" s="290"/>
      <c r="AD298" s="291"/>
    </row>
    <row r="299" spans="1:30" ht="31">
      <c r="A299" s="56"/>
      <c r="B299" s="56"/>
      <c r="C299" s="56"/>
      <c r="D299" s="24" t="s">
        <v>733</v>
      </c>
      <c r="E299" s="42">
        <v>0</v>
      </c>
      <c r="F299" s="42">
        <v>0</v>
      </c>
      <c r="G299" s="42">
        <v>0</v>
      </c>
      <c r="H299" s="42">
        <v>0</v>
      </c>
      <c r="I299" s="42">
        <v>0</v>
      </c>
      <c r="J299" s="42"/>
      <c r="K299" s="42"/>
      <c r="L299" s="42"/>
      <c r="M299" s="150">
        <f t="shared" si="12"/>
        <v>0</v>
      </c>
      <c r="N299" s="45" t="s">
        <v>70</v>
      </c>
      <c r="O299" s="45" t="s">
        <v>332</v>
      </c>
      <c r="P299" s="289" t="s">
        <v>333</v>
      </c>
      <c r="Q299" s="290"/>
      <c r="R299" s="290"/>
      <c r="S299" s="290"/>
      <c r="T299" s="290"/>
      <c r="U299" s="290"/>
      <c r="V299" s="290"/>
      <c r="W299" s="290"/>
      <c r="X299" s="290"/>
      <c r="Y299" s="290"/>
      <c r="Z299" s="290"/>
      <c r="AA299" s="290"/>
      <c r="AB299" s="290"/>
      <c r="AC299" s="290"/>
      <c r="AD299" s="291"/>
    </row>
    <row r="300" spans="1:30" ht="31" customHeight="1">
      <c r="A300" s="56"/>
      <c r="B300" s="56"/>
      <c r="C300" s="56"/>
      <c r="D300" s="24" t="s">
        <v>735</v>
      </c>
      <c r="E300" s="42">
        <v>0</v>
      </c>
      <c r="F300" s="42">
        <v>0</v>
      </c>
      <c r="G300" s="42">
        <v>0</v>
      </c>
      <c r="H300" s="42">
        <v>0</v>
      </c>
      <c r="I300" s="42">
        <v>0</v>
      </c>
      <c r="J300" s="42"/>
      <c r="K300" s="42"/>
      <c r="L300" s="42"/>
      <c r="M300" s="150">
        <f t="shared" si="12"/>
        <v>0</v>
      </c>
      <c r="N300" s="45" t="s">
        <v>73</v>
      </c>
      <c r="O300" s="45" t="s">
        <v>334</v>
      </c>
      <c r="P300" s="289" t="s">
        <v>335</v>
      </c>
      <c r="Q300" s="290"/>
      <c r="R300" s="290"/>
      <c r="S300" s="290"/>
      <c r="T300" s="290"/>
      <c r="U300" s="290"/>
      <c r="V300" s="290"/>
      <c r="W300" s="290"/>
      <c r="X300" s="290"/>
      <c r="Y300" s="290"/>
      <c r="Z300" s="290"/>
      <c r="AA300" s="290"/>
      <c r="AB300" s="290"/>
      <c r="AC300" s="290"/>
      <c r="AD300" s="291"/>
    </row>
    <row r="301" spans="1:30" ht="16.5" customHeight="1">
      <c r="A301" s="56"/>
      <c r="B301" s="56"/>
      <c r="C301" s="56"/>
      <c r="D301" s="24" t="s">
        <v>736</v>
      </c>
      <c r="E301" s="42">
        <v>0</v>
      </c>
      <c r="F301" s="42">
        <v>0</v>
      </c>
      <c r="G301" s="42">
        <v>0</v>
      </c>
      <c r="H301" s="42">
        <v>0</v>
      </c>
      <c r="I301" s="42">
        <v>0</v>
      </c>
      <c r="J301" s="42"/>
      <c r="K301" s="42"/>
      <c r="L301" s="42"/>
      <c r="M301" s="150">
        <f t="shared" si="12"/>
        <v>0</v>
      </c>
      <c r="N301" s="45" t="s">
        <v>76</v>
      </c>
      <c r="O301" s="45" t="s">
        <v>722</v>
      </c>
      <c r="P301" s="289" t="s">
        <v>336</v>
      </c>
      <c r="Q301" s="290"/>
      <c r="R301" s="290"/>
      <c r="S301" s="290"/>
      <c r="T301" s="290"/>
      <c r="U301" s="290"/>
      <c r="V301" s="290"/>
      <c r="W301" s="290"/>
      <c r="X301" s="290"/>
      <c r="Y301" s="290"/>
      <c r="Z301" s="290"/>
      <c r="AA301" s="290"/>
      <c r="AB301" s="290"/>
      <c r="AC301" s="290"/>
      <c r="AD301" s="291"/>
    </row>
    <row r="302" spans="1:30" ht="31" customHeight="1">
      <c r="A302" s="56"/>
      <c r="B302" s="56"/>
      <c r="C302" s="56"/>
      <c r="D302" s="24" t="s">
        <v>737</v>
      </c>
      <c r="E302" s="42">
        <v>0</v>
      </c>
      <c r="F302" s="42">
        <v>0</v>
      </c>
      <c r="G302" s="42">
        <v>0</v>
      </c>
      <c r="H302" s="42">
        <v>0</v>
      </c>
      <c r="I302" s="42">
        <v>0</v>
      </c>
      <c r="J302" s="42"/>
      <c r="K302" s="42"/>
      <c r="L302" s="42"/>
      <c r="M302" s="150">
        <f t="shared" si="12"/>
        <v>0</v>
      </c>
      <c r="N302" s="45" t="s">
        <v>78</v>
      </c>
      <c r="O302" s="45" t="s">
        <v>723</v>
      </c>
      <c r="P302" s="289" t="s">
        <v>337</v>
      </c>
      <c r="Q302" s="290"/>
      <c r="R302" s="290"/>
      <c r="S302" s="290"/>
      <c r="T302" s="290"/>
      <c r="U302" s="290"/>
      <c r="V302" s="290"/>
      <c r="W302" s="290"/>
      <c r="X302" s="290"/>
      <c r="Y302" s="290"/>
      <c r="Z302" s="290"/>
      <c r="AA302" s="290"/>
      <c r="AB302" s="290"/>
      <c r="AC302" s="290"/>
      <c r="AD302" s="291"/>
    </row>
    <row r="303" spans="1:30" ht="16.5" customHeight="1">
      <c r="A303" s="56"/>
      <c r="B303" s="56"/>
      <c r="C303" s="56"/>
      <c r="D303" s="24" t="s">
        <v>738</v>
      </c>
      <c r="E303" s="42">
        <v>0</v>
      </c>
      <c r="F303" s="42">
        <v>0</v>
      </c>
      <c r="G303" s="42">
        <v>0</v>
      </c>
      <c r="H303" s="42">
        <v>0</v>
      </c>
      <c r="I303" s="42">
        <v>0</v>
      </c>
      <c r="J303" s="42">
        <v>0</v>
      </c>
      <c r="K303" s="42">
        <v>0</v>
      </c>
      <c r="L303" s="42">
        <v>0</v>
      </c>
      <c r="M303" s="150">
        <f t="shared" si="12"/>
        <v>0</v>
      </c>
      <c r="N303" s="45" t="s">
        <v>80</v>
      </c>
      <c r="O303" s="45" t="s">
        <v>724</v>
      </c>
      <c r="P303" s="289" t="s">
        <v>338</v>
      </c>
      <c r="Q303" s="290"/>
      <c r="R303" s="290"/>
      <c r="S303" s="290"/>
      <c r="T303" s="290"/>
      <c r="U303" s="290"/>
      <c r="V303" s="290"/>
      <c r="W303" s="290"/>
      <c r="X303" s="290"/>
      <c r="Y303" s="290"/>
      <c r="Z303" s="290"/>
      <c r="AA303" s="290"/>
      <c r="AB303" s="290"/>
      <c r="AC303" s="290"/>
      <c r="AD303" s="291"/>
    </row>
    <row r="304" spans="1:30" ht="16.5" customHeight="1">
      <c r="A304" s="56"/>
      <c r="B304" s="56"/>
      <c r="C304" s="56"/>
      <c r="D304" s="24" t="s">
        <v>739</v>
      </c>
      <c r="E304" s="42">
        <v>0</v>
      </c>
      <c r="F304" s="42">
        <v>0</v>
      </c>
      <c r="G304" s="42">
        <v>0</v>
      </c>
      <c r="H304" s="42">
        <v>0</v>
      </c>
      <c r="I304" s="42">
        <v>0</v>
      </c>
      <c r="J304" s="42">
        <v>0</v>
      </c>
      <c r="K304" s="42">
        <v>0</v>
      </c>
      <c r="L304" s="42">
        <v>0</v>
      </c>
      <c r="M304" s="150">
        <f t="shared" si="12"/>
        <v>0</v>
      </c>
      <c r="N304" s="45" t="s">
        <v>82</v>
      </c>
      <c r="O304" s="45" t="s">
        <v>725</v>
      </c>
      <c r="P304" s="289" t="s">
        <v>339</v>
      </c>
      <c r="Q304" s="290"/>
      <c r="R304" s="290"/>
      <c r="S304" s="290"/>
      <c r="T304" s="290"/>
      <c r="U304" s="290"/>
      <c r="V304" s="290"/>
      <c r="W304" s="290"/>
      <c r="X304" s="290"/>
      <c r="Y304" s="290"/>
      <c r="Z304" s="290"/>
      <c r="AA304" s="290"/>
      <c r="AB304" s="290"/>
      <c r="AC304" s="290"/>
      <c r="AD304" s="291"/>
    </row>
    <row r="305" spans="1:30" ht="16.5" customHeight="1">
      <c r="A305" s="56"/>
      <c r="B305" s="56"/>
      <c r="C305" s="56"/>
      <c r="D305" s="24" t="s">
        <v>740</v>
      </c>
      <c r="E305" s="42">
        <v>0</v>
      </c>
      <c r="F305" s="42">
        <v>0</v>
      </c>
      <c r="G305" s="42">
        <v>0</v>
      </c>
      <c r="H305" s="42">
        <v>0</v>
      </c>
      <c r="I305" s="42">
        <v>0</v>
      </c>
      <c r="J305" s="42">
        <v>0</v>
      </c>
      <c r="K305" s="42">
        <v>0</v>
      </c>
      <c r="L305" s="42">
        <v>0</v>
      </c>
      <c r="M305" s="150">
        <f t="shared" si="12"/>
        <v>0</v>
      </c>
      <c r="N305" s="45" t="s">
        <v>84</v>
      </c>
      <c r="O305" s="45" t="s">
        <v>726</v>
      </c>
      <c r="P305" s="14"/>
    </row>
    <row r="306" spans="1:30" ht="16.5" customHeight="1">
      <c r="A306" s="56"/>
      <c r="B306" s="56"/>
      <c r="C306" s="56"/>
      <c r="D306" s="24" t="s">
        <v>549</v>
      </c>
      <c r="E306" s="42">
        <v>0</v>
      </c>
      <c r="F306" s="42">
        <v>0</v>
      </c>
      <c r="G306" s="42">
        <v>0</v>
      </c>
      <c r="H306" s="42">
        <v>0</v>
      </c>
      <c r="I306" s="42">
        <v>0</v>
      </c>
      <c r="J306" s="42">
        <v>0</v>
      </c>
      <c r="K306" s="42">
        <v>0</v>
      </c>
      <c r="L306" s="42">
        <v>0</v>
      </c>
      <c r="M306" s="150">
        <f t="shared" si="12"/>
        <v>0</v>
      </c>
      <c r="N306" s="45" t="s">
        <v>86</v>
      </c>
      <c r="O306" s="45" t="s">
        <v>727</v>
      </c>
      <c r="P306" s="14"/>
    </row>
    <row r="307" spans="1:30" ht="86" customHeight="1">
      <c r="A307" s="56"/>
      <c r="B307" s="56"/>
      <c r="C307" s="56"/>
      <c r="D307" s="24" t="s">
        <v>741</v>
      </c>
      <c r="E307" s="42">
        <v>0</v>
      </c>
      <c r="F307" s="42">
        <v>0</v>
      </c>
      <c r="G307" s="42">
        <v>0</v>
      </c>
      <c r="H307" s="42">
        <v>0</v>
      </c>
      <c r="I307" s="42">
        <v>0</v>
      </c>
      <c r="J307" s="42">
        <v>0</v>
      </c>
      <c r="K307" s="42">
        <v>0</v>
      </c>
      <c r="L307" s="42">
        <v>0</v>
      </c>
      <c r="M307" s="150">
        <f t="shared" si="12"/>
        <v>0</v>
      </c>
      <c r="N307" s="45" t="s">
        <v>88</v>
      </c>
      <c r="O307" s="45" t="s">
        <v>340</v>
      </c>
      <c r="P307" s="289" t="s">
        <v>341</v>
      </c>
      <c r="Q307" s="290"/>
      <c r="R307" s="290"/>
      <c r="S307" s="290"/>
      <c r="T307" s="290"/>
      <c r="U307" s="290"/>
      <c r="V307" s="290"/>
      <c r="W307" s="290"/>
      <c r="X307" s="290"/>
      <c r="Y307" s="290"/>
      <c r="Z307" s="290"/>
      <c r="AA307" s="290"/>
      <c r="AB307" s="290"/>
      <c r="AC307" s="290"/>
      <c r="AD307" s="291"/>
    </row>
    <row r="308" spans="1:30" ht="71.5" customHeight="1">
      <c r="A308" s="56"/>
      <c r="B308" s="56"/>
      <c r="C308" s="56"/>
      <c r="D308" s="24" t="s">
        <v>742</v>
      </c>
      <c r="E308" s="42">
        <v>0</v>
      </c>
      <c r="F308" s="42">
        <v>0</v>
      </c>
      <c r="G308" s="42">
        <v>0</v>
      </c>
      <c r="H308" s="42">
        <v>0</v>
      </c>
      <c r="I308" s="42">
        <v>0</v>
      </c>
      <c r="J308" s="42">
        <v>0</v>
      </c>
      <c r="K308" s="42">
        <v>0</v>
      </c>
      <c r="L308" s="42">
        <v>0</v>
      </c>
      <c r="M308" s="150">
        <f t="shared" si="12"/>
        <v>0</v>
      </c>
      <c r="N308" s="45" t="s">
        <v>90</v>
      </c>
      <c r="O308" s="45" t="s">
        <v>728</v>
      </c>
      <c r="P308" s="289" t="s">
        <v>342</v>
      </c>
      <c r="Q308" s="290"/>
      <c r="R308" s="290"/>
      <c r="S308" s="290"/>
      <c r="T308" s="290"/>
      <c r="U308" s="290"/>
      <c r="V308" s="290"/>
      <c r="W308" s="290"/>
      <c r="X308" s="290"/>
      <c r="Y308" s="290"/>
      <c r="Z308" s="290"/>
      <c r="AA308" s="290"/>
      <c r="AB308" s="290"/>
      <c r="AC308" s="290"/>
      <c r="AD308" s="291"/>
    </row>
    <row r="309" spans="1:30" ht="16.5" customHeight="1">
      <c r="A309" s="56"/>
      <c r="B309" s="56"/>
      <c r="C309" s="56"/>
      <c r="D309" s="24" t="s">
        <v>743</v>
      </c>
      <c r="E309" s="42">
        <v>0</v>
      </c>
      <c r="F309" s="42">
        <v>0</v>
      </c>
      <c r="G309" s="42">
        <v>0</v>
      </c>
      <c r="H309" s="42">
        <v>0</v>
      </c>
      <c r="I309" s="42">
        <v>0</v>
      </c>
      <c r="J309" s="42">
        <v>0</v>
      </c>
      <c r="K309" s="42">
        <v>0</v>
      </c>
      <c r="L309" s="42">
        <v>0</v>
      </c>
      <c r="M309" s="150">
        <f t="shared" si="12"/>
        <v>0</v>
      </c>
      <c r="N309" s="45" t="s">
        <v>92</v>
      </c>
      <c r="O309" s="45" t="s">
        <v>344</v>
      </c>
      <c r="P309" s="14"/>
    </row>
    <row r="310" spans="1:30" ht="31">
      <c r="A310" s="56"/>
      <c r="B310" s="56"/>
      <c r="C310" s="56"/>
      <c r="D310" s="24" t="s">
        <v>744</v>
      </c>
      <c r="E310" s="42">
        <v>0</v>
      </c>
      <c r="F310" s="42">
        <v>0</v>
      </c>
      <c r="G310" s="42">
        <v>0</v>
      </c>
      <c r="H310" s="42">
        <v>0</v>
      </c>
      <c r="I310" s="42">
        <v>0</v>
      </c>
      <c r="J310" s="42"/>
      <c r="K310" s="42"/>
      <c r="L310" s="42"/>
      <c r="M310" s="150">
        <f t="shared" si="12"/>
        <v>0</v>
      </c>
      <c r="N310" s="45" t="s">
        <v>91</v>
      </c>
      <c r="O310" s="45" t="s">
        <v>729</v>
      </c>
      <c r="P310" s="289" t="s">
        <v>345</v>
      </c>
      <c r="Q310" s="290"/>
      <c r="R310" s="290"/>
      <c r="S310" s="290"/>
      <c r="T310" s="290"/>
      <c r="U310" s="290"/>
      <c r="V310" s="290"/>
      <c r="W310" s="290"/>
      <c r="X310" s="290"/>
      <c r="Y310" s="290"/>
      <c r="Z310" s="290"/>
      <c r="AA310" s="290"/>
      <c r="AB310" s="290"/>
      <c r="AC310" s="290"/>
      <c r="AD310" s="291"/>
    </row>
    <row r="311" spans="1:30" ht="16.5" customHeight="1" thickBot="1">
      <c r="A311" s="56"/>
      <c r="B311" s="56"/>
      <c r="C311" s="56"/>
      <c r="D311" s="176" t="s">
        <v>347</v>
      </c>
      <c r="E311" s="171">
        <f t="shared" ref="E311:M311" si="13">+E292+SUM(E294:E310)</f>
        <v>3457864</v>
      </c>
      <c r="F311" s="171">
        <f t="shared" si="13"/>
        <v>345786</v>
      </c>
      <c r="G311" s="171">
        <f>+G292+SUM(G294:G310)</f>
        <v>0</v>
      </c>
      <c r="H311" s="171">
        <f t="shared" si="13"/>
        <v>0</v>
      </c>
      <c r="I311" s="171">
        <f t="shared" si="13"/>
        <v>0</v>
      </c>
      <c r="J311" s="171">
        <f t="shared" si="13"/>
        <v>0</v>
      </c>
      <c r="K311" s="171">
        <f t="shared" si="13"/>
        <v>0</v>
      </c>
      <c r="L311" s="171">
        <f t="shared" si="13"/>
        <v>0</v>
      </c>
      <c r="M311" s="164">
        <f t="shared" si="13"/>
        <v>3803650</v>
      </c>
      <c r="N311" s="45" t="s">
        <v>14</v>
      </c>
      <c r="O311" s="45" t="s">
        <v>346</v>
      </c>
    </row>
    <row r="312" spans="1:30" ht="16" thickBot="1">
      <c r="A312" s="56"/>
      <c r="B312" s="56"/>
      <c r="C312" s="56"/>
      <c r="D312" s="7"/>
      <c r="E312" s="7"/>
      <c r="F312" s="7"/>
      <c r="G312" s="7"/>
      <c r="H312" s="7"/>
      <c r="I312" s="7"/>
      <c r="J312" s="7"/>
      <c r="K312" s="7"/>
    </row>
    <row r="313" spans="1:30" ht="16" thickBot="1">
      <c r="A313" s="56"/>
      <c r="B313" s="56"/>
      <c r="C313" s="56"/>
      <c r="D313" s="296" t="s">
        <v>745</v>
      </c>
      <c r="E313" s="297" t="s">
        <v>102</v>
      </c>
      <c r="F313" s="297"/>
      <c r="G313" s="297"/>
      <c r="H313" s="297"/>
      <c r="I313" s="297"/>
      <c r="J313" s="297"/>
      <c r="K313" s="297"/>
      <c r="L313" s="297"/>
      <c r="M313" s="298"/>
      <c r="N313" s="45"/>
      <c r="O313" s="45" t="s">
        <v>348</v>
      </c>
    </row>
    <row r="314" spans="1:30">
      <c r="A314" s="56"/>
      <c r="B314" s="56"/>
      <c r="C314" s="56"/>
      <c r="D314" s="168" t="s">
        <v>713</v>
      </c>
      <c r="E314" s="169" t="str">
        <f>+E291</f>
        <v>Nord Stream AG (PE Germany)</v>
      </c>
      <c r="F314" s="169" t="str">
        <f t="shared" ref="F314:L314" si="14">+F291</f>
        <v>Nord Stream AG (Stateless Permanent Establishment Germany)</v>
      </c>
      <c r="G314" s="169">
        <f t="shared" si="14"/>
        <v>0</v>
      </c>
      <c r="H314" s="169">
        <f t="shared" si="14"/>
        <v>0</v>
      </c>
      <c r="I314" s="169">
        <f t="shared" si="14"/>
        <v>0</v>
      </c>
      <c r="J314" s="169">
        <f t="shared" si="14"/>
        <v>0</v>
      </c>
      <c r="K314" s="169">
        <f t="shared" si="14"/>
        <v>0</v>
      </c>
      <c r="L314" s="169">
        <f t="shared" si="14"/>
        <v>0</v>
      </c>
      <c r="M314" s="170" t="str">
        <f>+M291</f>
        <v>Total amount</v>
      </c>
      <c r="N314" s="45" t="s">
        <v>245</v>
      </c>
      <c r="O314" s="45" t="s">
        <v>349</v>
      </c>
    </row>
    <row r="315" spans="1:30">
      <c r="A315" s="56"/>
      <c r="B315" s="56"/>
      <c r="C315" s="56"/>
      <c r="D315" s="161" t="s">
        <v>746</v>
      </c>
      <c r="E315" s="42">
        <v>3457864</v>
      </c>
      <c r="F315" s="42">
        <v>345786</v>
      </c>
      <c r="G315" s="42">
        <v>0</v>
      </c>
      <c r="H315" s="42">
        <v>0</v>
      </c>
      <c r="I315" s="42">
        <v>0</v>
      </c>
      <c r="J315" s="42">
        <v>0</v>
      </c>
      <c r="K315" s="42"/>
      <c r="L315" s="42"/>
      <c r="M315" s="150">
        <f>SUM(E315:L315)</f>
        <v>3803650</v>
      </c>
      <c r="N315" s="45"/>
      <c r="O315" s="45" t="s">
        <v>350</v>
      </c>
    </row>
    <row r="316" spans="1:30">
      <c r="A316" s="56"/>
      <c r="B316" s="56"/>
      <c r="C316" s="56"/>
      <c r="D316" s="177" t="s">
        <v>710</v>
      </c>
      <c r="E316" s="42"/>
      <c r="F316" s="42"/>
      <c r="G316" s="42"/>
      <c r="H316" s="42"/>
      <c r="I316" s="42"/>
      <c r="J316" s="42"/>
      <c r="K316" s="42"/>
      <c r="L316" s="42"/>
      <c r="M316" s="150"/>
      <c r="N316" s="45" t="s">
        <v>289</v>
      </c>
      <c r="O316" s="45" t="s">
        <v>351</v>
      </c>
    </row>
    <row r="317" spans="1:30">
      <c r="A317" s="56"/>
      <c r="B317" s="56"/>
      <c r="C317" s="56"/>
      <c r="D317" s="161" t="s">
        <v>701</v>
      </c>
      <c r="E317" s="42" t="s">
        <v>714</v>
      </c>
      <c r="F317" s="42" t="s">
        <v>714</v>
      </c>
      <c r="G317" s="42" t="s">
        <v>714</v>
      </c>
      <c r="H317" s="42" t="s">
        <v>714</v>
      </c>
      <c r="I317" s="42" t="s">
        <v>714</v>
      </c>
      <c r="J317" s="42" t="s">
        <v>714</v>
      </c>
      <c r="K317" s="42" t="s">
        <v>714</v>
      </c>
      <c r="L317" s="42" t="s">
        <v>714</v>
      </c>
      <c r="M317" s="150"/>
      <c r="N317" s="45" t="s">
        <v>291</v>
      </c>
      <c r="O317" s="45" t="s">
        <v>352</v>
      </c>
    </row>
    <row r="318" spans="1:30">
      <c r="A318" s="56"/>
      <c r="B318" s="56"/>
      <c r="C318" s="56"/>
      <c r="D318" s="161" t="s">
        <v>702</v>
      </c>
      <c r="E318" s="42" t="s">
        <v>716</v>
      </c>
      <c r="F318" s="42" t="s">
        <v>716</v>
      </c>
      <c r="G318" s="42" t="s">
        <v>716</v>
      </c>
      <c r="H318" s="42" t="s">
        <v>716</v>
      </c>
      <c r="I318" s="42" t="s">
        <v>716</v>
      </c>
      <c r="J318" s="42" t="s">
        <v>716</v>
      </c>
      <c r="K318" s="42" t="s">
        <v>716</v>
      </c>
      <c r="L318" s="42" t="s">
        <v>716</v>
      </c>
      <c r="M318" s="150"/>
      <c r="N318" s="45" t="s">
        <v>293</v>
      </c>
      <c r="O318" s="45" t="s">
        <v>353</v>
      </c>
    </row>
    <row r="319" spans="1:30">
      <c r="A319" s="56"/>
      <c r="B319" s="56"/>
      <c r="C319" s="56"/>
      <c r="D319" s="161" t="s">
        <v>703</v>
      </c>
      <c r="E319" s="42">
        <v>0</v>
      </c>
      <c r="F319" s="42">
        <v>0</v>
      </c>
      <c r="G319" s="42">
        <v>0</v>
      </c>
      <c r="H319" s="42">
        <v>0</v>
      </c>
      <c r="I319" s="42">
        <v>0</v>
      </c>
      <c r="J319" s="42"/>
      <c r="K319" s="42"/>
      <c r="L319" s="42"/>
      <c r="M319" s="150">
        <f>SUM(E319:L319)</f>
        <v>0</v>
      </c>
      <c r="N319" s="45" t="s">
        <v>295</v>
      </c>
      <c r="O319" s="45" t="s">
        <v>354</v>
      </c>
    </row>
    <row r="320" spans="1:30">
      <c r="A320" s="56"/>
      <c r="B320" s="56"/>
      <c r="C320" s="56"/>
      <c r="D320" s="161" t="s">
        <v>704</v>
      </c>
      <c r="E320" s="42">
        <v>0</v>
      </c>
      <c r="F320" s="42">
        <v>0</v>
      </c>
      <c r="G320" s="42">
        <v>0</v>
      </c>
      <c r="H320" s="42">
        <v>0</v>
      </c>
      <c r="I320" s="42">
        <v>0</v>
      </c>
      <c r="J320" s="42"/>
      <c r="K320" s="42"/>
      <c r="L320" s="42"/>
      <c r="M320" s="150">
        <f>SUM(E320:L320)</f>
        <v>0</v>
      </c>
      <c r="N320" s="45" t="s">
        <v>297</v>
      </c>
      <c r="O320" s="45" t="s">
        <v>355</v>
      </c>
    </row>
    <row r="321" spans="1:30" ht="16" thickBot="1">
      <c r="A321" s="56"/>
      <c r="B321" s="56"/>
      <c r="C321" s="56"/>
      <c r="D321" s="178" t="s">
        <v>747</v>
      </c>
      <c r="E321" s="179">
        <f>+E315+E319+E320</f>
        <v>3457864</v>
      </c>
      <c r="F321" s="179">
        <f t="shared" ref="F321:L321" si="15">+F315+F319+F320</f>
        <v>345786</v>
      </c>
      <c r="G321" s="179">
        <f t="shared" si="15"/>
        <v>0</v>
      </c>
      <c r="H321" s="179">
        <f t="shared" si="15"/>
        <v>0</v>
      </c>
      <c r="I321" s="179">
        <f t="shared" si="15"/>
        <v>0</v>
      </c>
      <c r="J321" s="179">
        <f t="shared" si="15"/>
        <v>0</v>
      </c>
      <c r="K321" s="179">
        <f t="shared" si="15"/>
        <v>0</v>
      </c>
      <c r="L321" s="179">
        <f t="shared" si="15"/>
        <v>0</v>
      </c>
      <c r="M321" s="180">
        <f>+M315+M319+M320</f>
        <v>3803650</v>
      </c>
      <c r="N321" s="45" t="s">
        <v>323</v>
      </c>
      <c r="O321" s="45"/>
    </row>
    <row r="322" spans="1:30" ht="16" thickBot="1">
      <c r="A322" s="56"/>
      <c r="B322" s="56"/>
      <c r="C322" s="56"/>
      <c r="D322" s="7"/>
      <c r="E322" s="7"/>
      <c r="F322" s="7"/>
      <c r="G322" s="7"/>
      <c r="H322" s="7"/>
      <c r="I322" s="7"/>
      <c r="J322" s="7"/>
      <c r="K322" s="7"/>
    </row>
    <row r="323" spans="1:30" ht="16" thickBot="1">
      <c r="A323" s="56"/>
      <c r="B323" s="56"/>
      <c r="C323" s="56"/>
      <c r="D323" s="296" t="s">
        <v>808</v>
      </c>
      <c r="E323" s="297"/>
      <c r="F323" s="297"/>
      <c r="G323" s="297"/>
      <c r="H323" s="297"/>
      <c r="I323" s="297"/>
      <c r="J323" s="297"/>
      <c r="K323" s="297"/>
      <c r="L323" s="297"/>
      <c r="M323" s="298"/>
      <c r="N323" s="45"/>
      <c r="O323" s="45" t="s">
        <v>356</v>
      </c>
    </row>
    <row r="324" spans="1:30">
      <c r="A324" s="56"/>
      <c r="B324" s="56"/>
      <c r="C324" s="56"/>
      <c r="D324" s="174" t="s">
        <v>247</v>
      </c>
      <c r="E324" s="169" t="str">
        <f>+E314</f>
        <v>Nord Stream AG (PE Germany)</v>
      </c>
      <c r="F324" s="169" t="str">
        <f t="shared" ref="F324:M324" si="16">+F314</f>
        <v>Nord Stream AG (Stateless Permanent Establishment Germany)</v>
      </c>
      <c r="G324" s="169">
        <f t="shared" si="16"/>
        <v>0</v>
      </c>
      <c r="H324" s="169">
        <f t="shared" si="16"/>
        <v>0</v>
      </c>
      <c r="I324" s="169">
        <f t="shared" si="16"/>
        <v>0</v>
      </c>
      <c r="J324" s="169">
        <f t="shared" si="16"/>
        <v>0</v>
      </c>
      <c r="K324" s="169">
        <f t="shared" si="16"/>
        <v>0</v>
      </c>
      <c r="L324" s="169">
        <f t="shared" si="16"/>
        <v>0</v>
      </c>
      <c r="M324" s="170" t="str">
        <f t="shared" si="16"/>
        <v>Total amount</v>
      </c>
      <c r="N324" s="45" t="s">
        <v>245</v>
      </c>
      <c r="O324" s="45" t="s">
        <v>357</v>
      </c>
    </row>
    <row r="325" spans="1:30">
      <c r="A325" s="56"/>
      <c r="B325" s="56"/>
      <c r="C325" s="56"/>
      <c r="D325" s="175" t="s">
        <v>765</v>
      </c>
      <c r="E325" s="42">
        <v>124324</v>
      </c>
      <c r="F325" s="42">
        <v>1234</v>
      </c>
      <c r="G325" s="42">
        <v>0</v>
      </c>
      <c r="H325" s="42">
        <v>0</v>
      </c>
      <c r="I325" s="42">
        <v>0</v>
      </c>
      <c r="J325" s="42"/>
      <c r="K325" s="42"/>
      <c r="L325" s="42"/>
      <c r="M325" s="150">
        <f>SUM(E325:L325)</f>
        <v>125558</v>
      </c>
      <c r="N325" s="45" t="s">
        <v>118</v>
      </c>
      <c r="O325" s="45" t="s">
        <v>358</v>
      </c>
    </row>
    <row r="326" spans="1:30">
      <c r="A326" s="56"/>
      <c r="B326" s="56"/>
      <c r="C326" s="56"/>
      <c r="D326" s="300" t="s">
        <v>766</v>
      </c>
      <c r="E326" s="301"/>
      <c r="F326" s="301"/>
      <c r="G326" s="301"/>
      <c r="H326" s="301"/>
      <c r="I326" s="301"/>
      <c r="J326" s="301"/>
      <c r="K326" s="301"/>
      <c r="L326" s="375"/>
      <c r="M326" s="183"/>
      <c r="N326" s="45" t="s">
        <v>137</v>
      </c>
      <c r="O326" s="45" t="s">
        <v>359</v>
      </c>
    </row>
    <row r="327" spans="1:30" ht="33" customHeight="1">
      <c r="A327" s="56"/>
      <c r="B327" s="56"/>
      <c r="C327" s="56"/>
      <c r="D327" s="23" t="s">
        <v>592</v>
      </c>
      <c r="E327" s="42">
        <v>0</v>
      </c>
      <c r="F327" s="42">
        <v>0</v>
      </c>
      <c r="G327" s="42">
        <v>0</v>
      </c>
      <c r="H327" s="42">
        <v>0</v>
      </c>
      <c r="I327" s="42">
        <v>0</v>
      </c>
      <c r="J327" s="42"/>
      <c r="K327" s="42"/>
      <c r="L327" s="42"/>
      <c r="M327" s="150">
        <f t="shared" ref="M327:M342" si="17">SUM(E327:L327)</f>
        <v>0</v>
      </c>
      <c r="N327" s="45" t="s">
        <v>141</v>
      </c>
      <c r="O327" s="45" t="s">
        <v>749</v>
      </c>
      <c r="P327" s="372" t="s">
        <v>360</v>
      </c>
      <c r="Q327" s="373"/>
      <c r="R327" s="373"/>
      <c r="S327" s="373"/>
      <c r="T327" s="373"/>
      <c r="U327" s="373"/>
      <c r="V327" s="373"/>
      <c r="W327" s="373"/>
      <c r="X327" s="373"/>
      <c r="Y327" s="373"/>
      <c r="Z327" s="373"/>
      <c r="AA327" s="373"/>
      <c r="AB327" s="373"/>
      <c r="AC327" s="373"/>
      <c r="AD327" s="374"/>
    </row>
    <row r="328" spans="1:30" ht="28" customHeight="1">
      <c r="A328" s="56"/>
      <c r="B328" s="56"/>
      <c r="C328" s="56"/>
      <c r="D328" s="23" t="s">
        <v>604</v>
      </c>
      <c r="E328" s="42">
        <v>0</v>
      </c>
      <c r="F328" s="42">
        <v>0</v>
      </c>
      <c r="G328" s="42">
        <v>0</v>
      </c>
      <c r="H328" s="42">
        <v>0</v>
      </c>
      <c r="I328" s="42">
        <v>0</v>
      </c>
      <c r="J328" s="42"/>
      <c r="K328" s="42"/>
      <c r="L328" s="42"/>
      <c r="M328" s="150">
        <f t="shared" si="17"/>
        <v>0</v>
      </c>
      <c r="N328" s="45" t="s">
        <v>142</v>
      </c>
      <c r="O328" s="45" t="s">
        <v>750</v>
      </c>
      <c r="P328" s="372" t="s">
        <v>748</v>
      </c>
      <c r="Q328" s="373"/>
      <c r="R328" s="373"/>
      <c r="S328" s="373"/>
      <c r="T328" s="373"/>
      <c r="U328" s="373"/>
      <c r="V328" s="373"/>
      <c r="W328" s="373"/>
      <c r="X328" s="373"/>
      <c r="Y328" s="373"/>
      <c r="Z328" s="373"/>
      <c r="AA328" s="373"/>
      <c r="AB328" s="373"/>
      <c r="AC328" s="373"/>
      <c r="AD328" s="374"/>
    </row>
    <row r="329" spans="1:30" ht="15.5" customHeight="1">
      <c r="A329" s="56"/>
      <c r="B329" s="56"/>
      <c r="C329" s="56"/>
      <c r="D329" s="23" t="s">
        <v>605</v>
      </c>
      <c r="E329" s="42">
        <v>0</v>
      </c>
      <c r="F329" s="42">
        <v>0</v>
      </c>
      <c r="G329" s="42">
        <v>0</v>
      </c>
      <c r="H329" s="42">
        <v>0</v>
      </c>
      <c r="I329" s="42">
        <v>0</v>
      </c>
      <c r="J329" s="42"/>
      <c r="K329" s="42"/>
      <c r="L329" s="42"/>
      <c r="M329" s="150">
        <f t="shared" si="17"/>
        <v>0</v>
      </c>
      <c r="N329" s="45" t="s">
        <v>143</v>
      </c>
      <c r="O329" s="45" t="s">
        <v>751</v>
      </c>
      <c r="P329" s="372" t="s">
        <v>748</v>
      </c>
      <c r="Q329" s="373"/>
      <c r="R329" s="373"/>
      <c r="S329" s="373"/>
      <c r="T329" s="373"/>
      <c r="U329" s="373"/>
      <c r="V329" s="373"/>
      <c r="W329" s="373"/>
      <c r="X329" s="373"/>
      <c r="Y329" s="373"/>
      <c r="Z329" s="373"/>
      <c r="AA329" s="373"/>
      <c r="AB329" s="373"/>
      <c r="AC329" s="373"/>
      <c r="AD329" s="374"/>
    </row>
    <row r="330" spans="1:30" ht="15.5" customHeight="1">
      <c r="A330" s="56"/>
      <c r="B330" s="56"/>
      <c r="C330" s="56"/>
      <c r="D330" s="23" t="s">
        <v>593</v>
      </c>
      <c r="E330" s="42">
        <v>0</v>
      </c>
      <c r="F330" s="42">
        <v>0</v>
      </c>
      <c r="G330" s="42">
        <v>0</v>
      </c>
      <c r="H330" s="42">
        <v>0</v>
      </c>
      <c r="I330" s="42">
        <v>0</v>
      </c>
      <c r="J330" s="42"/>
      <c r="K330" s="42"/>
      <c r="L330" s="42"/>
      <c r="M330" s="150">
        <f t="shared" si="17"/>
        <v>0</v>
      </c>
      <c r="N330" s="45" t="s">
        <v>144</v>
      </c>
      <c r="O330" s="45" t="s">
        <v>752</v>
      </c>
      <c r="P330" s="372" t="s">
        <v>361</v>
      </c>
      <c r="Q330" s="373"/>
      <c r="R330" s="373"/>
      <c r="S330" s="373"/>
      <c r="T330" s="373"/>
      <c r="U330" s="373"/>
      <c r="V330" s="373"/>
      <c r="W330" s="373"/>
      <c r="X330" s="373"/>
      <c r="Y330" s="373"/>
      <c r="Z330" s="373"/>
      <c r="AA330" s="373"/>
      <c r="AB330" s="373"/>
      <c r="AC330" s="373"/>
      <c r="AD330" s="374"/>
    </row>
    <row r="331" spans="1:30" ht="15.5" customHeight="1">
      <c r="A331" s="56"/>
      <c r="B331" s="56"/>
      <c r="C331" s="56"/>
      <c r="D331" s="23" t="s">
        <v>594</v>
      </c>
      <c r="E331" s="42">
        <v>0</v>
      </c>
      <c r="F331" s="42">
        <v>0</v>
      </c>
      <c r="G331" s="42">
        <v>0</v>
      </c>
      <c r="H331" s="42">
        <v>0</v>
      </c>
      <c r="I331" s="42">
        <v>0</v>
      </c>
      <c r="J331" s="42"/>
      <c r="K331" s="42"/>
      <c r="L331" s="42"/>
      <c r="M331" s="150">
        <f t="shared" si="17"/>
        <v>0</v>
      </c>
      <c r="N331" s="45" t="s">
        <v>145</v>
      </c>
      <c r="O331" s="45" t="s">
        <v>753</v>
      </c>
      <c r="P331" s="372" t="s">
        <v>362</v>
      </c>
      <c r="Q331" s="373"/>
      <c r="R331" s="373"/>
      <c r="S331" s="373"/>
      <c r="T331" s="373"/>
      <c r="U331" s="373"/>
      <c r="V331" s="373"/>
      <c r="W331" s="373"/>
      <c r="X331" s="373"/>
      <c r="Y331" s="373"/>
      <c r="Z331" s="373"/>
      <c r="AA331" s="373"/>
      <c r="AB331" s="373"/>
      <c r="AC331" s="373"/>
      <c r="AD331" s="374"/>
    </row>
    <row r="332" spans="1:30" ht="31" customHeight="1">
      <c r="A332" s="56"/>
      <c r="B332" s="56"/>
      <c r="C332" s="56"/>
      <c r="D332" s="23" t="s">
        <v>595</v>
      </c>
      <c r="E332" s="42">
        <v>0</v>
      </c>
      <c r="F332" s="42">
        <v>0</v>
      </c>
      <c r="G332" s="42">
        <v>0</v>
      </c>
      <c r="H332" s="42">
        <v>0</v>
      </c>
      <c r="I332" s="42">
        <v>0</v>
      </c>
      <c r="J332" s="42"/>
      <c r="K332" s="42"/>
      <c r="L332" s="42"/>
      <c r="M332" s="150">
        <f t="shared" si="17"/>
        <v>0</v>
      </c>
      <c r="N332" s="45" t="s">
        <v>146</v>
      </c>
      <c r="O332" s="45" t="s">
        <v>754</v>
      </c>
      <c r="P332" s="325" t="s">
        <v>363</v>
      </c>
      <c r="Q332" s="326"/>
      <c r="R332" s="326"/>
      <c r="S332" s="326"/>
      <c r="T332" s="326"/>
      <c r="U332" s="326"/>
      <c r="V332" s="326"/>
      <c r="W332" s="326"/>
      <c r="X332" s="326"/>
      <c r="Y332" s="326"/>
      <c r="Z332" s="326"/>
      <c r="AA332" s="326"/>
      <c r="AB332" s="326"/>
      <c r="AC332" s="326"/>
      <c r="AD332" s="327"/>
    </row>
    <row r="333" spans="1:30" ht="88.5" customHeight="1">
      <c r="A333" s="56"/>
      <c r="B333" s="56"/>
      <c r="C333" s="56"/>
      <c r="D333" s="23" t="s">
        <v>596</v>
      </c>
      <c r="E333" s="42">
        <v>0</v>
      </c>
      <c r="F333" s="42">
        <v>0</v>
      </c>
      <c r="G333" s="42">
        <v>0</v>
      </c>
      <c r="H333" s="42">
        <v>0</v>
      </c>
      <c r="I333" s="42">
        <v>0</v>
      </c>
      <c r="J333" s="42"/>
      <c r="K333" s="42"/>
      <c r="L333" s="42"/>
      <c r="M333" s="150">
        <f t="shared" si="17"/>
        <v>0</v>
      </c>
      <c r="N333" s="45" t="s">
        <v>148</v>
      </c>
      <c r="O333" s="45" t="s">
        <v>755</v>
      </c>
      <c r="P333" s="325" t="s">
        <v>364</v>
      </c>
      <c r="Q333" s="326"/>
      <c r="R333" s="326"/>
      <c r="S333" s="326"/>
      <c r="T333" s="326"/>
      <c r="U333" s="326"/>
      <c r="V333" s="326"/>
      <c r="W333" s="326"/>
      <c r="X333" s="326"/>
      <c r="Y333" s="326"/>
      <c r="Z333" s="326"/>
      <c r="AA333" s="326"/>
      <c r="AB333" s="326"/>
      <c r="AC333" s="326"/>
      <c r="AD333" s="327"/>
    </row>
    <row r="334" spans="1:30" ht="33" customHeight="1">
      <c r="A334" s="56"/>
      <c r="B334" s="56"/>
      <c r="C334" s="56"/>
      <c r="D334" s="23" t="s">
        <v>597</v>
      </c>
      <c r="E334" s="42">
        <v>0</v>
      </c>
      <c r="F334" s="42">
        <v>0</v>
      </c>
      <c r="G334" s="42">
        <v>0</v>
      </c>
      <c r="H334" s="42">
        <v>0</v>
      </c>
      <c r="I334" s="42">
        <v>0</v>
      </c>
      <c r="J334" s="42"/>
      <c r="K334" s="42"/>
      <c r="L334" s="42"/>
      <c r="M334" s="150">
        <f t="shared" si="17"/>
        <v>0</v>
      </c>
      <c r="N334" s="45" t="s">
        <v>150</v>
      </c>
      <c r="O334" s="45" t="s">
        <v>756</v>
      </c>
      <c r="P334" s="325" t="s">
        <v>365</v>
      </c>
      <c r="Q334" s="326"/>
      <c r="R334" s="326"/>
      <c r="S334" s="326"/>
      <c r="T334" s="326"/>
      <c r="U334" s="326"/>
      <c r="V334" s="326"/>
      <c r="W334" s="326"/>
      <c r="X334" s="326"/>
      <c r="Y334" s="326"/>
      <c r="Z334" s="326"/>
      <c r="AA334" s="326"/>
      <c r="AB334" s="326"/>
      <c r="AC334" s="326"/>
      <c r="AD334" s="327"/>
    </row>
    <row r="335" spans="1:30" ht="15.5" customHeight="1">
      <c r="A335" s="56"/>
      <c r="B335" s="56"/>
      <c r="C335" s="56"/>
      <c r="D335" s="23" t="s">
        <v>598</v>
      </c>
      <c r="E335" s="42">
        <v>0</v>
      </c>
      <c r="F335" s="42">
        <v>0</v>
      </c>
      <c r="G335" s="42">
        <v>0</v>
      </c>
      <c r="H335" s="42">
        <v>0</v>
      </c>
      <c r="I335" s="42">
        <v>0</v>
      </c>
      <c r="J335" s="42">
        <v>0</v>
      </c>
      <c r="K335" s="42">
        <v>0</v>
      </c>
      <c r="L335" s="42">
        <v>0</v>
      </c>
      <c r="M335" s="150">
        <f t="shared" si="17"/>
        <v>0</v>
      </c>
      <c r="N335" s="45" t="s">
        <v>151</v>
      </c>
      <c r="O335" s="45" t="s">
        <v>757</v>
      </c>
      <c r="P335" s="325" t="s">
        <v>366</v>
      </c>
      <c r="Q335" s="326"/>
      <c r="R335" s="326"/>
      <c r="S335" s="326"/>
      <c r="T335" s="326"/>
      <c r="U335" s="326"/>
      <c r="V335" s="326"/>
      <c r="W335" s="326"/>
      <c r="X335" s="326"/>
      <c r="Y335" s="326"/>
      <c r="Z335" s="326"/>
      <c r="AA335" s="326"/>
      <c r="AB335" s="326"/>
      <c r="AC335" s="326"/>
      <c r="AD335" s="327"/>
    </row>
    <row r="336" spans="1:30" ht="48" customHeight="1">
      <c r="A336" s="56"/>
      <c r="B336" s="56"/>
      <c r="C336" s="56"/>
      <c r="D336" s="23" t="s">
        <v>599</v>
      </c>
      <c r="E336" s="42">
        <v>0</v>
      </c>
      <c r="F336" s="42">
        <v>0</v>
      </c>
      <c r="G336" s="42">
        <v>0</v>
      </c>
      <c r="H336" s="42">
        <v>0</v>
      </c>
      <c r="I336" s="42">
        <v>0</v>
      </c>
      <c r="J336" s="42"/>
      <c r="K336" s="42"/>
      <c r="L336" s="42"/>
      <c r="M336" s="150">
        <f t="shared" si="17"/>
        <v>0</v>
      </c>
      <c r="N336" s="45" t="s">
        <v>152</v>
      </c>
      <c r="O336" s="45" t="s">
        <v>758</v>
      </c>
      <c r="P336" s="325" t="s">
        <v>367</v>
      </c>
      <c r="Q336" s="326"/>
      <c r="R336" s="326"/>
      <c r="S336" s="326"/>
      <c r="T336" s="326"/>
      <c r="U336" s="326"/>
      <c r="V336" s="326"/>
      <c r="W336" s="326"/>
      <c r="X336" s="326"/>
      <c r="Y336" s="326"/>
      <c r="Z336" s="326"/>
      <c r="AA336" s="326"/>
      <c r="AB336" s="326"/>
      <c r="AC336" s="326"/>
      <c r="AD336" s="327"/>
    </row>
    <row r="337" spans="1:30" ht="30.5" customHeight="1">
      <c r="A337" s="56"/>
      <c r="B337" s="56"/>
      <c r="C337" s="56"/>
      <c r="D337" s="23" t="s">
        <v>606</v>
      </c>
      <c r="E337" s="42">
        <v>0</v>
      </c>
      <c r="F337" s="42">
        <v>0</v>
      </c>
      <c r="G337" s="42">
        <v>0</v>
      </c>
      <c r="H337" s="42">
        <v>0</v>
      </c>
      <c r="I337" s="42">
        <v>0</v>
      </c>
      <c r="J337" s="42"/>
      <c r="K337" s="42"/>
      <c r="L337" s="42"/>
      <c r="M337" s="150">
        <f t="shared" si="17"/>
        <v>0</v>
      </c>
      <c r="N337" s="45" t="s">
        <v>153</v>
      </c>
      <c r="O337" s="45" t="s">
        <v>759</v>
      </c>
      <c r="P337" s="325" t="s">
        <v>368</v>
      </c>
      <c r="Q337" s="326"/>
      <c r="R337" s="326"/>
      <c r="S337" s="326"/>
      <c r="T337" s="326"/>
      <c r="U337" s="326"/>
      <c r="V337" s="326"/>
      <c r="W337" s="326"/>
      <c r="X337" s="326"/>
      <c r="Y337" s="326"/>
      <c r="Z337" s="326"/>
      <c r="AA337" s="326"/>
      <c r="AB337" s="326"/>
      <c r="AC337" s="326"/>
      <c r="AD337" s="327"/>
    </row>
    <row r="338" spans="1:30" ht="33" customHeight="1">
      <c r="A338" s="56"/>
      <c r="B338" s="56"/>
      <c r="C338" s="56"/>
      <c r="D338" s="23" t="s">
        <v>607</v>
      </c>
      <c r="E338" s="42">
        <v>0</v>
      </c>
      <c r="F338" s="42">
        <v>0</v>
      </c>
      <c r="G338" s="42">
        <v>0</v>
      </c>
      <c r="H338" s="42">
        <v>0</v>
      </c>
      <c r="I338" s="42">
        <v>0</v>
      </c>
      <c r="J338" s="42"/>
      <c r="K338" s="42"/>
      <c r="L338" s="42"/>
      <c r="M338" s="150">
        <f t="shared" si="17"/>
        <v>0</v>
      </c>
      <c r="N338" s="45" t="s">
        <v>154</v>
      </c>
      <c r="O338" s="45" t="s">
        <v>760</v>
      </c>
      <c r="P338" s="325" t="s">
        <v>369</v>
      </c>
      <c r="Q338" s="326"/>
      <c r="R338" s="326"/>
      <c r="S338" s="326"/>
      <c r="T338" s="326"/>
      <c r="U338" s="326"/>
      <c r="V338" s="326"/>
      <c r="W338" s="326"/>
      <c r="X338" s="326"/>
      <c r="Y338" s="326"/>
      <c r="Z338" s="326"/>
      <c r="AA338" s="326"/>
      <c r="AB338" s="326"/>
      <c r="AC338" s="326"/>
      <c r="AD338" s="327"/>
    </row>
    <row r="339" spans="1:30">
      <c r="A339" s="56"/>
      <c r="B339" s="56"/>
      <c r="C339" s="56"/>
      <c r="D339" s="23" t="s">
        <v>600</v>
      </c>
      <c r="E339" s="42">
        <v>0</v>
      </c>
      <c r="F339" s="42">
        <v>0</v>
      </c>
      <c r="G339" s="42">
        <v>0</v>
      </c>
      <c r="H339" s="42">
        <v>0</v>
      </c>
      <c r="I339" s="42">
        <v>0</v>
      </c>
      <c r="J339" s="42"/>
      <c r="K339" s="42"/>
      <c r="L339" s="42"/>
      <c r="M339" s="150">
        <f t="shared" si="17"/>
        <v>0</v>
      </c>
      <c r="N339" s="45" t="s">
        <v>155</v>
      </c>
      <c r="O339" s="45" t="s">
        <v>761</v>
      </c>
      <c r="P339" s="7"/>
    </row>
    <row r="340" spans="1:30">
      <c r="A340" s="56"/>
      <c r="B340" s="56"/>
      <c r="C340" s="56"/>
      <c r="D340" s="23" t="s">
        <v>601</v>
      </c>
      <c r="E340" s="42">
        <v>0</v>
      </c>
      <c r="F340" s="42">
        <v>0</v>
      </c>
      <c r="G340" s="42">
        <v>0</v>
      </c>
      <c r="H340" s="42">
        <v>0</v>
      </c>
      <c r="I340" s="42">
        <v>0</v>
      </c>
      <c r="J340" s="42">
        <v>0</v>
      </c>
      <c r="K340" s="42">
        <v>0</v>
      </c>
      <c r="L340" s="42">
        <v>0</v>
      </c>
      <c r="M340" s="150">
        <f t="shared" si="17"/>
        <v>0</v>
      </c>
      <c r="N340" s="45" t="s">
        <v>156</v>
      </c>
      <c r="O340" s="45" t="s">
        <v>762</v>
      </c>
      <c r="P340" s="7"/>
    </row>
    <row r="341" spans="1:30">
      <c r="A341" s="56"/>
      <c r="B341" s="56"/>
      <c r="C341" s="56"/>
      <c r="D341" s="23" t="s">
        <v>602</v>
      </c>
      <c r="E341" s="42">
        <v>0</v>
      </c>
      <c r="F341" s="42">
        <v>0</v>
      </c>
      <c r="G341" s="42">
        <v>0</v>
      </c>
      <c r="H341" s="42">
        <v>0</v>
      </c>
      <c r="I341" s="42">
        <v>0</v>
      </c>
      <c r="J341" s="42">
        <v>0</v>
      </c>
      <c r="K341" s="42">
        <v>0</v>
      </c>
      <c r="L341" s="42">
        <v>0</v>
      </c>
      <c r="M341" s="150">
        <f>SUM(E341:L341)</f>
        <v>0</v>
      </c>
      <c r="N341" s="45" t="s">
        <v>157</v>
      </c>
      <c r="O341" s="45" t="s">
        <v>763</v>
      </c>
      <c r="P341" s="7"/>
    </row>
    <row r="342" spans="1:30" ht="15.5" customHeight="1">
      <c r="A342" s="56"/>
      <c r="B342" s="56"/>
      <c r="C342" s="56"/>
      <c r="D342" s="23" t="s">
        <v>603</v>
      </c>
      <c r="E342" s="42">
        <v>0</v>
      </c>
      <c r="F342" s="42">
        <v>0</v>
      </c>
      <c r="G342" s="42">
        <v>0</v>
      </c>
      <c r="H342" s="42">
        <v>0</v>
      </c>
      <c r="I342" s="42">
        <v>0</v>
      </c>
      <c r="J342" s="42">
        <v>0</v>
      </c>
      <c r="K342" s="42">
        <v>0</v>
      </c>
      <c r="L342" s="42">
        <v>0</v>
      </c>
      <c r="M342" s="150">
        <f t="shared" si="17"/>
        <v>0</v>
      </c>
      <c r="N342" s="45" t="s">
        <v>159</v>
      </c>
      <c r="O342" s="45" t="s">
        <v>764</v>
      </c>
      <c r="P342" s="7"/>
    </row>
    <row r="343" spans="1:30" ht="37" customHeight="1">
      <c r="A343" s="56"/>
      <c r="B343" s="56"/>
      <c r="C343" s="56"/>
      <c r="D343" s="175" t="s">
        <v>767</v>
      </c>
      <c r="E343" s="181">
        <f>E325+SUM(E327:E342)</f>
        <v>124324</v>
      </c>
      <c r="F343" s="181">
        <f t="shared" ref="F343:M343" si="18">F325+SUM(F327:F342)</f>
        <v>1234</v>
      </c>
      <c r="G343" s="181">
        <f t="shared" si="18"/>
        <v>0</v>
      </c>
      <c r="H343" s="181">
        <f t="shared" si="18"/>
        <v>0</v>
      </c>
      <c r="I343" s="181">
        <f t="shared" si="18"/>
        <v>0</v>
      </c>
      <c r="J343" s="181">
        <f t="shared" si="18"/>
        <v>0</v>
      </c>
      <c r="K343" s="181">
        <f t="shared" si="18"/>
        <v>0</v>
      </c>
      <c r="L343" s="181">
        <f t="shared" si="18"/>
        <v>0</v>
      </c>
      <c r="M343" s="184">
        <f t="shared" si="18"/>
        <v>125558</v>
      </c>
      <c r="N343" s="45" t="s">
        <v>128</v>
      </c>
      <c r="O343" s="45" t="s">
        <v>359</v>
      </c>
      <c r="P343" s="325" t="s">
        <v>370</v>
      </c>
      <c r="Q343" s="326"/>
      <c r="R343" s="326"/>
      <c r="S343" s="326"/>
      <c r="T343" s="326"/>
      <c r="U343" s="326"/>
      <c r="V343" s="326"/>
      <c r="W343" s="326"/>
      <c r="X343" s="326"/>
      <c r="Y343" s="326"/>
      <c r="Z343" s="326"/>
      <c r="AA343" s="326"/>
      <c r="AB343" s="326"/>
      <c r="AC343" s="326"/>
      <c r="AD343" s="327"/>
    </row>
    <row r="344" spans="1:30">
      <c r="A344" s="56"/>
      <c r="B344" s="56"/>
      <c r="C344" s="56"/>
      <c r="D344" s="43" t="s">
        <v>768</v>
      </c>
      <c r="E344" s="42">
        <v>0</v>
      </c>
      <c r="F344" s="42">
        <v>0</v>
      </c>
      <c r="G344" s="42">
        <v>0</v>
      </c>
      <c r="H344" s="42">
        <v>0</v>
      </c>
      <c r="I344" s="42"/>
      <c r="J344" s="42"/>
      <c r="K344" s="42"/>
      <c r="L344" s="42"/>
      <c r="M344" s="150">
        <f>SUM(E344:L344)</f>
        <v>0</v>
      </c>
      <c r="N344" s="45" t="s">
        <v>130</v>
      </c>
      <c r="O344" s="45" t="s">
        <v>371</v>
      </c>
    </row>
    <row r="345" spans="1:30" ht="31">
      <c r="A345" s="56"/>
      <c r="B345" s="56"/>
      <c r="C345" s="56"/>
      <c r="D345" s="43" t="s">
        <v>770</v>
      </c>
      <c r="E345" s="42">
        <v>0</v>
      </c>
      <c r="F345" s="42">
        <v>0</v>
      </c>
      <c r="G345" s="42">
        <v>0</v>
      </c>
      <c r="H345" s="42">
        <v>0</v>
      </c>
      <c r="I345" s="42">
        <v>0</v>
      </c>
      <c r="J345" s="42">
        <v>0</v>
      </c>
      <c r="K345" s="42">
        <v>0</v>
      </c>
      <c r="L345" s="42">
        <v>0</v>
      </c>
      <c r="M345" s="150">
        <f>SUM(E345:L345)</f>
        <v>0</v>
      </c>
      <c r="N345" s="45" t="s">
        <v>132</v>
      </c>
      <c r="O345" s="45" t="s">
        <v>372</v>
      </c>
    </row>
    <row r="346" spans="1:30" ht="16" thickBot="1">
      <c r="A346" s="56"/>
      <c r="B346" s="56"/>
      <c r="C346" s="56"/>
      <c r="D346" s="176" t="s">
        <v>769</v>
      </c>
      <c r="E346" s="185">
        <f>+E343+E344+E345</f>
        <v>124324</v>
      </c>
      <c r="F346" s="185">
        <f t="shared" ref="F346:M346" si="19">+F343+F344+F345</f>
        <v>1234</v>
      </c>
      <c r="G346" s="185">
        <f t="shared" si="19"/>
        <v>0</v>
      </c>
      <c r="H346" s="185">
        <f t="shared" si="19"/>
        <v>0</v>
      </c>
      <c r="I346" s="185">
        <f t="shared" si="19"/>
        <v>0</v>
      </c>
      <c r="J346" s="185">
        <f t="shared" si="19"/>
        <v>0</v>
      </c>
      <c r="K346" s="185">
        <f t="shared" si="19"/>
        <v>0</v>
      </c>
      <c r="L346" s="185">
        <f t="shared" si="19"/>
        <v>0</v>
      </c>
      <c r="M346" s="186">
        <f t="shared" si="19"/>
        <v>125558</v>
      </c>
      <c r="N346" s="45" t="s">
        <v>343</v>
      </c>
      <c r="O346" s="45" t="s">
        <v>373</v>
      </c>
    </row>
    <row r="347" spans="1:30" ht="16" thickBot="1">
      <c r="A347" s="56"/>
      <c r="B347" s="56"/>
      <c r="C347" s="56"/>
      <c r="D347" s="4"/>
      <c r="E347" s="182"/>
      <c r="F347" s="182"/>
      <c r="G347" s="182"/>
      <c r="H347" s="182"/>
      <c r="I347" s="182"/>
      <c r="J347" s="182"/>
      <c r="K347" s="182"/>
      <c r="L347" s="182"/>
      <c r="M347" s="182"/>
      <c r="N347" s="56"/>
    </row>
    <row r="348" spans="1:30" ht="16" thickBot="1">
      <c r="A348" s="56"/>
      <c r="B348" s="56"/>
      <c r="C348" s="56"/>
      <c r="D348" s="296" t="s">
        <v>376</v>
      </c>
      <c r="E348" s="297"/>
      <c r="F348" s="297"/>
      <c r="G348" s="297"/>
      <c r="H348" s="297"/>
      <c r="I348" s="297"/>
      <c r="J348" s="297"/>
      <c r="K348" s="297"/>
      <c r="L348" s="297"/>
      <c r="M348" s="45" t="s">
        <v>375</v>
      </c>
    </row>
    <row r="349" spans="1:30" ht="16" thickBot="1">
      <c r="A349" s="56"/>
      <c r="B349" s="56"/>
      <c r="C349" s="56"/>
      <c r="D349" s="191" t="s">
        <v>377</v>
      </c>
      <c r="E349" s="192" t="str">
        <f>+E324</f>
        <v>Nord Stream AG (PE Germany)</v>
      </c>
      <c r="F349" s="192" t="str">
        <f t="shared" ref="F349:L349" si="20">+F324</f>
        <v>Nord Stream AG (Stateless Permanent Establishment Germany)</v>
      </c>
      <c r="G349" s="192">
        <f t="shared" si="20"/>
        <v>0</v>
      </c>
      <c r="H349" s="192">
        <f t="shared" si="20"/>
        <v>0</v>
      </c>
      <c r="I349" s="192">
        <f t="shared" si="20"/>
        <v>0</v>
      </c>
      <c r="J349" s="192">
        <f t="shared" si="20"/>
        <v>0</v>
      </c>
      <c r="K349" s="192">
        <f t="shared" si="20"/>
        <v>0</v>
      </c>
      <c r="L349" s="192">
        <f t="shared" si="20"/>
        <v>0</v>
      </c>
      <c r="M349" s="45" t="s">
        <v>245</v>
      </c>
      <c r="O349" s="14"/>
    </row>
    <row r="350" spans="1:30" ht="16" thickBot="1">
      <c r="A350" s="56"/>
      <c r="B350" s="56"/>
      <c r="C350" s="56"/>
      <c r="D350" s="376" t="s">
        <v>809</v>
      </c>
      <c r="E350" s="377"/>
      <c r="F350" s="377"/>
      <c r="G350" s="377"/>
      <c r="H350" s="377"/>
      <c r="I350" s="377"/>
      <c r="J350" s="377"/>
      <c r="K350" s="377"/>
      <c r="L350" s="378"/>
      <c r="M350" s="45"/>
      <c r="O350" s="14"/>
    </row>
    <row r="351" spans="1:30">
      <c r="A351" s="56"/>
      <c r="B351" s="56"/>
      <c r="C351" s="56"/>
      <c r="D351" s="193" t="s">
        <v>810</v>
      </c>
      <c r="E351" s="194" t="s">
        <v>650</v>
      </c>
      <c r="F351" s="194" t="s">
        <v>648</v>
      </c>
      <c r="G351" s="194" t="s">
        <v>648</v>
      </c>
      <c r="H351" s="194" t="s">
        <v>648</v>
      </c>
      <c r="I351" s="194" t="s">
        <v>648</v>
      </c>
      <c r="J351" s="194" t="s">
        <v>648</v>
      </c>
      <c r="K351" s="194" t="s">
        <v>648</v>
      </c>
      <c r="L351" s="195" t="s">
        <v>648</v>
      </c>
      <c r="M351" s="45" t="s">
        <v>383</v>
      </c>
      <c r="N351" s="56"/>
      <c r="O351" s="325" t="s">
        <v>384</v>
      </c>
      <c r="P351" s="326"/>
      <c r="Q351" s="326"/>
      <c r="R351" s="326"/>
      <c r="S351" s="326"/>
      <c r="T351" s="326"/>
      <c r="U351" s="326"/>
      <c r="V351" s="326"/>
      <c r="W351" s="326"/>
      <c r="X351" s="326"/>
      <c r="Y351" s="326"/>
      <c r="Z351" s="326"/>
      <c r="AA351" s="326"/>
      <c r="AB351" s="326"/>
      <c r="AC351" s="327"/>
    </row>
    <row r="352" spans="1:30" ht="15" customHeight="1">
      <c r="A352" s="56"/>
      <c r="B352" s="56"/>
      <c r="C352" s="56"/>
      <c r="D352" s="196" t="s">
        <v>386</v>
      </c>
      <c r="E352" s="42" t="s">
        <v>650</v>
      </c>
      <c r="F352" s="42" t="s">
        <v>648</v>
      </c>
      <c r="G352" s="42" t="s">
        <v>648</v>
      </c>
      <c r="H352" s="42" t="s">
        <v>648</v>
      </c>
      <c r="I352" s="42" t="s">
        <v>648</v>
      </c>
      <c r="J352" s="42" t="s">
        <v>648</v>
      </c>
      <c r="K352" s="42" t="s">
        <v>648</v>
      </c>
      <c r="L352" s="41" t="s">
        <v>648</v>
      </c>
      <c r="M352" s="45" t="s">
        <v>385</v>
      </c>
      <c r="N352" s="56"/>
      <c r="O352" s="7"/>
    </row>
    <row r="353" spans="1:29" ht="15" customHeight="1" thickBot="1">
      <c r="A353" s="56"/>
      <c r="B353" s="56"/>
      <c r="C353" s="56"/>
      <c r="D353" s="197" t="s">
        <v>811</v>
      </c>
      <c r="E353" s="106" t="s">
        <v>650</v>
      </c>
      <c r="F353" s="106" t="s">
        <v>648</v>
      </c>
      <c r="G353" s="106" t="s">
        <v>648</v>
      </c>
      <c r="H353" s="106" t="s">
        <v>648</v>
      </c>
      <c r="I353" s="106" t="s">
        <v>648</v>
      </c>
      <c r="J353" s="106" t="s">
        <v>648</v>
      </c>
      <c r="K353" s="106" t="s">
        <v>648</v>
      </c>
      <c r="L353" s="99" t="s">
        <v>648</v>
      </c>
      <c r="M353" s="56"/>
      <c r="N353" s="56"/>
      <c r="O353" s="7"/>
    </row>
    <row r="354" spans="1:29" ht="15" customHeight="1" thickBot="1">
      <c r="A354" s="56"/>
      <c r="B354" s="56"/>
      <c r="C354" s="56"/>
      <c r="D354" s="376" t="s">
        <v>812</v>
      </c>
      <c r="E354" s="377"/>
      <c r="F354" s="377"/>
      <c r="G354" s="377"/>
      <c r="H354" s="377"/>
      <c r="I354" s="377"/>
      <c r="J354" s="377"/>
      <c r="K354" s="377"/>
      <c r="L354" s="378"/>
      <c r="M354" s="56"/>
      <c r="N354" s="56"/>
      <c r="O354" s="7"/>
    </row>
    <row r="355" spans="1:29" ht="15" customHeight="1">
      <c r="A355" s="56"/>
      <c r="B355" s="56"/>
      <c r="C355" s="56"/>
      <c r="D355" s="193" t="s">
        <v>813</v>
      </c>
      <c r="E355" s="194" t="s">
        <v>650</v>
      </c>
      <c r="F355" s="194" t="s">
        <v>650</v>
      </c>
      <c r="G355" s="194" t="s">
        <v>650</v>
      </c>
      <c r="H355" s="194" t="s">
        <v>650</v>
      </c>
      <c r="I355" s="194" t="s">
        <v>650</v>
      </c>
      <c r="J355" s="194" t="s">
        <v>648</v>
      </c>
      <c r="K355" s="194" t="s">
        <v>648</v>
      </c>
      <c r="L355" s="195" t="s">
        <v>648</v>
      </c>
      <c r="M355" s="45" t="s">
        <v>378</v>
      </c>
      <c r="O355" s="14"/>
    </row>
    <row r="356" spans="1:29" ht="15" customHeight="1">
      <c r="A356" s="56"/>
      <c r="B356" s="56"/>
      <c r="C356" s="56"/>
      <c r="D356" s="93" t="s">
        <v>380</v>
      </c>
      <c r="E356" s="42" t="s">
        <v>819</v>
      </c>
      <c r="F356" s="42" t="s">
        <v>819</v>
      </c>
      <c r="G356" s="42" t="s">
        <v>819</v>
      </c>
      <c r="H356" s="42" t="s">
        <v>819</v>
      </c>
      <c r="I356" s="42" t="s">
        <v>819</v>
      </c>
      <c r="J356" s="42" t="s">
        <v>819</v>
      </c>
      <c r="K356" s="42" t="s">
        <v>819</v>
      </c>
      <c r="L356" s="42" t="s">
        <v>819</v>
      </c>
      <c r="M356" s="45" t="s">
        <v>379</v>
      </c>
      <c r="N356" s="56"/>
      <c r="O356" s="7"/>
      <c r="P356" s="7"/>
      <c r="Q356" s="7"/>
      <c r="R356" s="7"/>
      <c r="S356" s="7"/>
      <c r="T356" s="7"/>
      <c r="U356" s="7"/>
      <c r="V356" s="7"/>
      <c r="W356" s="7"/>
      <c r="X356" s="7"/>
      <c r="Y356" s="7"/>
      <c r="Z356" s="7"/>
      <c r="AA356" s="7"/>
      <c r="AB356" s="7"/>
    </row>
    <row r="357" spans="1:29" ht="15" customHeight="1" thickBot="1">
      <c r="A357" s="56"/>
      <c r="B357" s="56"/>
      <c r="C357" s="56"/>
      <c r="D357" s="158" t="s">
        <v>382</v>
      </c>
      <c r="E357" s="106" t="s">
        <v>820</v>
      </c>
      <c r="F357" s="106" t="s">
        <v>820</v>
      </c>
      <c r="G357" s="106" t="s">
        <v>820</v>
      </c>
      <c r="H357" s="106" t="s">
        <v>820</v>
      </c>
      <c r="I357" s="106" t="s">
        <v>820</v>
      </c>
      <c r="J357" s="106" t="s">
        <v>820</v>
      </c>
      <c r="K357" s="106" t="s">
        <v>820</v>
      </c>
      <c r="L357" s="106" t="s">
        <v>820</v>
      </c>
      <c r="M357" s="45" t="s">
        <v>381</v>
      </c>
      <c r="N357" s="7"/>
    </row>
    <row r="358" spans="1:29" ht="15" customHeight="1">
      <c r="A358" s="56"/>
      <c r="B358" s="56"/>
      <c r="C358" s="56"/>
      <c r="D358" s="193" t="s">
        <v>814</v>
      </c>
      <c r="E358" s="194" t="s">
        <v>650</v>
      </c>
      <c r="F358" s="194" t="s">
        <v>650</v>
      </c>
      <c r="G358" s="194" t="s">
        <v>650</v>
      </c>
      <c r="H358" s="194" t="s">
        <v>650</v>
      </c>
      <c r="I358" s="194" t="s">
        <v>650</v>
      </c>
      <c r="J358" s="194" t="s">
        <v>648</v>
      </c>
      <c r="K358" s="194" t="s">
        <v>648</v>
      </c>
      <c r="L358" s="195" t="s">
        <v>648</v>
      </c>
      <c r="M358" s="45" t="s">
        <v>387</v>
      </c>
      <c r="N358" s="56"/>
      <c r="O358" s="7"/>
    </row>
    <row r="359" spans="1:29" ht="15" customHeight="1">
      <c r="A359" s="56"/>
      <c r="B359" s="56"/>
      <c r="C359" s="56"/>
      <c r="D359" s="93" t="s">
        <v>380</v>
      </c>
      <c r="E359" s="42" t="s">
        <v>819</v>
      </c>
      <c r="F359" s="42" t="s">
        <v>819</v>
      </c>
      <c r="G359" s="42" t="s">
        <v>819</v>
      </c>
      <c r="H359" s="42" t="s">
        <v>819</v>
      </c>
      <c r="I359" s="42" t="s">
        <v>819</v>
      </c>
      <c r="J359" s="42" t="s">
        <v>819</v>
      </c>
      <c r="K359" s="42" t="s">
        <v>819</v>
      </c>
      <c r="L359" s="42" t="s">
        <v>819</v>
      </c>
      <c r="M359" s="45" t="s">
        <v>379</v>
      </c>
      <c r="N359" s="56"/>
      <c r="O359" s="7"/>
    </row>
    <row r="360" spans="1:29" ht="15" customHeight="1" thickBot="1">
      <c r="A360" s="56"/>
      <c r="B360" s="56"/>
      <c r="C360" s="56"/>
      <c r="D360" s="158" t="s">
        <v>382</v>
      </c>
      <c r="E360" s="106" t="s">
        <v>820</v>
      </c>
      <c r="F360" s="106" t="s">
        <v>820</v>
      </c>
      <c r="G360" s="106" t="s">
        <v>820</v>
      </c>
      <c r="H360" s="106" t="s">
        <v>820</v>
      </c>
      <c r="I360" s="106" t="s">
        <v>820</v>
      </c>
      <c r="J360" s="106" t="s">
        <v>820</v>
      </c>
      <c r="K360" s="106" t="s">
        <v>820</v>
      </c>
      <c r="L360" s="106" t="s">
        <v>820</v>
      </c>
      <c r="M360" s="45" t="s">
        <v>381</v>
      </c>
      <c r="N360" s="56"/>
      <c r="O360" s="7"/>
    </row>
    <row r="361" spans="1:29">
      <c r="A361" s="56"/>
      <c r="B361" s="56"/>
      <c r="C361" s="56"/>
      <c r="D361" s="193" t="s">
        <v>816</v>
      </c>
      <c r="E361" s="194" t="s">
        <v>650</v>
      </c>
      <c r="F361" s="194" t="s">
        <v>650</v>
      </c>
      <c r="G361" s="194" t="s">
        <v>650</v>
      </c>
      <c r="H361" s="194" t="s">
        <v>650</v>
      </c>
      <c r="I361" s="194" t="s">
        <v>650</v>
      </c>
      <c r="J361" s="194" t="s">
        <v>648</v>
      </c>
      <c r="K361" s="194" t="s">
        <v>648</v>
      </c>
      <c r="L361" s="195" t="s">
        <v>648</v>
      </c>
      <c r="M361" s="45" t="s">
        <v>388</v>
      </c>
      <c r="N361" s="56"/>
      <c r="O361" s="7"/>
    </row>
    <row r="362" spans="1:29" ht="15" customHeight="1">
      <c r="A362" s="56"/>
      <c r="B362" s="56"/>
      <c r="C362" s="56"/>
      <c r="D362" s="93" t="s">
        <v>380</v>
      </c>
      <c r="E362" s="42" t="s">
        <v>819</v>
      </c>
      <c r="F362" s="42" t="s">
        <v>819</v>
      </c>
      <c r="G362" s="42" t="s">
        <v>819</v>
      </c>
      <c r="H362" s="42" t="s">
        <v>819</v>
      </c>
      <c r="I362" s="42" t="s">
        <v>819</v>
      </c>
      <c r="J362" s="42" t="s">
        <v>819</v>
      </c>
      <c r="K362" s="42" t="s">
        <v>819</v>
      </c>
      <c r="L362" s="42" t="s">
        <v>819</v>
      </c>
      <c r="M362" s="45" t="s">
        <v>379</v>
      </c>
      <c r="N362" s="56"/>
      <c r="O362" s="7"/>
    </row>
    <row r="363" spans="1:29" ht="15" customHeight="1" thickBot="1">
      <c r="A363" s="56"/>
      <c r="B363" s="56"/>
      <c r="C363" s="56"/>
      <c r="D363" s="158" t="s">
        <v>382</v>
      </c>
      <c r="E363" s="106" t="s">
        <v>820</v>
      </c>
      <c r="F363" s="106" t="s">
        <v>820</v>
      </c>
      <c r="G363" s="106" t="s">
        <v>820</v>
      </c>
      <c r="H363" s="106" t="s">
        <v>820</v>
      </c>
      <c r="I363" s="106" t="s">
        <v>820</v>
      </c>
      <c r="J363" s="106" t="s">
        <v>820</v>
      </c>
      <c r="K363" s="106" t="s">
        <v>820</v>
      </c>
      <c r="L363" s="106" t="s">
        <v>820</v>
      </c>
      <c r="M363" s="45" t="s">
        <v>381</v>
      </c>
      <c r="N363" s="56"/>
      <c r="O363" s="7"/>
    </row>
    <row r="364" spans="1:29" ht="15" customHeight="1">
      <c r="A364" s="56"/>
      <c r="B364" s="56"/>
      <c r="C364" s="56"/>
      <c r="D364" s="193" t="s">
        <v>399</v>
      </c>
      <c r="E364" s="194" t="s">
        <v>650</v>
      </c>
      <c r="F364" s="194" t="s">
        <v>650</v>
      </c>
      <c r="G364" s="194" t="s">
        <v>650</v>
      </c>
      <c r="H364" s="194" t="s">
        <v>650</v>
      </c>
      <c r="I364" s="194" t="s">
        <v>650</v>
      </c>
      <c r="J364" s="194" t="s">
        <v>648</v>
      </c>
      <c r="K364" s="194" t="s">
        <v>648</v>
      </c>
      <c r="L364" s="195" t="s">
        <v>648</v>
      </c>
      <c r="M364" s="45" t="s">
        <v>398</v>
      </c>
      <c r="N364" s="56"/>
      <c r="O364" s="328" t="s">
        <v>400</v>
      </c>
      <c r="P364" s="329"/>
      <c r="Q364" s="329"/>
      <c r="R364" s="329"/>
      <c r="S364" s="329"/>
      <c r="T364" s="329"/>
      <c r="U364" s="329"/>
      <c r="V364" s="329"/>
      <c r="W364" s="329"/>
      <c r="X364" s="329"/>
      <c r="Y364" s="329"/>
      <c r="Z364" s="329"/>
      <c r="AA364" s="329"/>
      <c r="AB364" s="329"/>
      <c r="AC364" s="330"/>
    </row>
    <row r="365" spans="1:29" ht="15" customHeight="1">
      <c r="A365" s="56"/>
      <c r="B365" s="56"/>
      <c r="C365" s="56"/>
      <c r="D365" s="93" t="s">
        <v>380</v>
      </c>
      <c r="E365" s="42" t="s">
        <v>819</v>
      </c>
      <c r="F365" s="42" t="s">
        <v>819</v>
      </c>
      <c r="G365" s="42" t="s">
        <v>819</v>
      </c>
      <c r="H365" s="42" t="s">
        <v>819</v>
      </c>
      <c r="I365" s="42" t="s">
        <v>819</v>
      </c>
      <c r="J365" s="42" t="s">
        <v>819</v>
      </c>
      <c r="K365" s="42" t="s">
        <v>819</v>
      </c>
      <c r="L365" s="42" t="s">
        <v>819</v>
      </c>
      <c r="M365" s="45" t="s">
        <v>379</v>
      </c>
      <c r="N365" s="56"/>
      <c r="O365" s="331"/>
      <c r="P365" s="332"/>
      <c r="Q365" s="332"/>
      <c r="R365" s="332"/>
      <c r="S365" s="332"/>
      <c r="T365" s="332"/>
      <c r="U365" s="332"/>
      <c r="V365" s="332"/>
      <c r="W365" s="332"/>
      <c r="X365" s="332"/>
      <c r="Y365" s="332"/>
      <c r="Z365" s="332"/>
      <c r="AA365" s="332"/>
      <c r="AB365" s="332"/>
      <c r="AC365" s="333"/>
    </row>
    <row r="366" spans="1:29" ht="15" customHeight="1" thickBot="1">
      <c r="A366" s="56"/>
      <c r="B366" s="56"/>
      <c r="C366" s="56"/>
      <c r="D366" s="158" t="s">
        <v>382</v>
      </c>
      <c r="E366" s="106" t="s">
        <v>820</v>
      </c>
      <c r="F366" s="106" t="s">
        <v>820</v>
      </c>
      <c r="G366" s="106" t="s">
        <v>820</v>
      </c>
      <c r="H366" s="106" t="s">
        <v>820</v>
      </c>
      <c r="I366" s="106" t="s">
        <v>820</v>
      </c>
      <c r="J366" s="106" t="s">
        <v>820</v>
      </c>
      <c r="K366" s="106" t="s">
        <v>820</v>
      </c>
      <c r="L366" s="106" t="s">
        <v>820</v>
      </c>
      <c r="M366" s="45" t="s">
        <v>381</v>
      </c>
      <c r="N366" s="56"/>
      <c r="O366" s="331"/>
      <c r="P366" s="332"/>
      <c r="Q366" s="332"/>
      <c r="R366" s="332"/>
      <c r="S366" s="332"/>
      <c r="T366" s="332"/>
      <c r="U366" s="332"/>
      <c r="V366" s="332"/>
      <c r="W366" s="332"/>
      <c r="X366" s="332"/>
      <c r="Y366" s="332"/>
      <c r="Z366" s="332"/>
      <c r="AA366" s="332"/>
      <c r="AB366" s="332"/>
      <c r="AC366" s="333"/>
    </row>
    <row r="367" spans="1:29" ht="14" customHeight="1">
      <c r="A367" s="56"/>
      <c r="B367" s="56"/>
      <c r="C367" s="56"/>
      <c r="D367" s="198" t="s">
        <v>817</v>
      </c>
      <c r="E367" s="194" t="s">
        <v>650</v>
      </c>
      <c r="F367" s="194" t="s">
        <v>650</v>
      </c>
      <c r="G367" s="194" t="s">
        <v>650</v>
      </c>
      <c r="H367" s="194" t="s">
        <v>650</v>
      </c>
      <c r="I367" s="194" t="s">
        <v>650</v>
      </c>
      <c r="J367" s="194" t="s">
        <v>648</v>
      </c>
      <c r="K367" s="194" t="s">
        <v>648</v>
      </c>
      <c r="L367" s="195" t="s">
        <v>648</v>
      </c>
      <c r="M367" s="45" t="s">
        <v>401</v>
      </c>
      <c r="N367" s="56"/>
      <c r="O367" s="334" t="s">
        <v>402</v>
      </c>
      <c r="P367" s="335"/>
      <c r="Q367" s="335"/>
      <c r="R367" s="335"/>
      <c r="S367" s="335"/>
      <c r="T367" s="335"/>
      <c r="U367" s="335"/>
      <c r="V367" s="335"/>
      <c r="W367" s="335"/>
      <c r="X367" s="335"/>
      <c r="Y367" s="335"/>
      <c r="Z367" s="335"/>
      <c r="AA367" s="335"/>
      <c r="AB367" s="335"/>
      <c r="AC367" s="336"/>
    </row>
    <row r="368" spans="1:29" ht="15" customHeight="1">
      <c r="A368" s="56"/>
      <c r="B368" s="56"/>
      <c r="C368" s="56"/>
      <c r="D368" s="93" t="s">
        <v>380</v>
      </c>
      <c r="E368" s="42" t="s">
        <v>819</v>
      </c>
      <c r="F368" s="42" t="s">
        <v>819</v>
      </c>
      <c r="G368" s="42" t="s">
        <v>819</v>
      </c>
      <c r="H368" s="42" t="s">
        <v>819</v>
      </c>
      <c r="I368" s="42" t="s">
        <v>819</v>
      </c>
      <c r="J368" s="42" t="s">
        <v>819</v>
      </c>
      <c r="K368" s="42" t="s">
        <v>819</v>
      </c>
      <c r="L368" s="42" t="s">
        <v>819</v>
      </c>
      <c r="M368" s="45" t="s">
        <v>379</v>
      </c>
      <c r="N368" s="56"/>
      <c r="O368" s="337"/>
      <c r="P368" s="338"/>
      <c r="Q368" s="338"/>
      <c r="R368" s="338"/>
      <c r="S368" s="338"/>
      <c r="T368" s="338"/>
      <c r="U368" s="338"/>
      <c r="V368" s="338"/>
      <c r="W368" s="338"/>
      <c r="X368" s="338"/>
      <c r="Y368" s="338"/>
      <c r="Z368" s="338"/>
      <c r="AA368" s="338"/>
      <c r="AB368" s="338"/>
      <c r="AC368" s="339"/>
    </row>
    <row r="369" spans="1:29" ht="15" customHeight="1" thickBot="1">
      <c r="A369" s="56"/>
      <c r="B369" s="56"/>
      <c r="C369" s="56"/>
      <c r="D369" s="199" t="s">
        <v>382</v>
      </c>
      <c r="E369" s="106" t="s">
        <v>820</v>
      </c>
      <c r="F369" s="106" t="s">
        <v>820</v>
      </c>
      <c r="G369" s="106" t="s">
        <v>820</v>
      </c>
      <c r="H369" s="106" t="s">
        <v>820</v>
      </c>
      <c r="I369" s="106" t="s">
        <v>820</v>
      </c>
      <c r="J369" s="106" t="s">
        <v>820</v>
      </c>
      <c r="K369" s="106" t="s">
        <v>820</v>
      </c>
      <c r="L369" s="106" t="s">
        <v>820</v>
      </c>
      <c r="M369" s="45" t="s">
        <v>381</v>
      </c>
      <c r="N369" s="56"/>
      <c r="O369" s="337"/>
      <c r="P369" s="338"/>
      <c r="Q369" s="338"/>
      <c r="R369" s="338"/>
      <c r="S369" s="338"/>
      <c r="T369" s="338"/>
      <c r="U369" s="338"/>
      <c r="V369" s="338"/>
      <c r="W369" s="338"/>
      <c r="X369" s="338"/>
      <c r="Y369" s="338"/>
      <c r="Z369" s="338"/>
      <c r="AA369" s="338"/>
      <c r="AB369" s="338"/>
      <c r="AC369" s="339"/>
    </row>
    <row r="370" spans="1:29" ht="15" customHeight="1">
      <c r="A370" s="56"/>
      <c r="B370" s="56"/>
      <c r="C370" s="56"/>
      <c r="D370" s="200" t="s">
        <v>815</v>
      </c>
      <c r="E370" s="194" t="s">
        <v>650</v>
      </c>
      <c r="F370" s="194" t="s">
        <v>650</v>
      </c>
      <c r="G370" s="194" t="s">
        <v>650</v>
      </c>
      <c r="H370" s="194" t="s">
        <v>650</v>
      </c>
      <c r="I370" s="194" t="s">
        <v>650</v>
      </c>
      <c r="J370" s="194" t="s">
        <v>648</v>
      </c>
      <c r="K370" s="194" t="s">
        <v>648</v>
      </c>
      <c r="L370" s="195" t="s">
        <v>648</v>
      </c>
      <c r="M370" s="45" t="s">
        <v>394</v>
      </c>
      <c r="N370" s="56"/>
      <c r="O370" s="328" t="s">
        <v>395</v>
      </c>
      <c r="P370" s="329"/>
      <c r="Q370" s="329"/>
      <c r="R370" s="329"/>
      <c r="S370" s="329"/>
      <c r="T370" s="329"/>
      <c r="U370" s="329"/>
      <c r="V370" s="329"/>
      <c r="W370" s="329"/>
      <c r="X370" s="329"/>
      <c r="Y370" s="329"/>
      <c r="Z370" s="329"/>
      <c r="AA370" s="329"/>
      <c r="AB370" s="329"/>
      <c r="AC370" s="330"/>
    </row>
    <row r="371" spans="1:29" ht="15" customHeight="1">
      <c r="A371" s="56"/>
      <c r="B371" s="56"/>
      <c r="C371" s="56"/>
      <c r="D371" s="93" t="s">
        <v>380</v>
      </c>
      <c r="E371" s="42" t="s">
        <v>819</v>
      </c>
      <c r="F371" s="42" t="s">
        <v>819</v>
      </c>
      <c r="G371" s="42" t="s">
        <v>819</v>
      </c>
      <c r="H371" s="42" t="s">
        <v>819</v>
      </c>
      <c r="I371" s="42" t="s">
        <v>819</v>
      </c>
      <c r="J371" s="42" t="s">
        <v>819</v>
      </c>
      <c r="K371" s="42" t="s">
        <v>819</v>
      </c>
      <c r="L371" s="42" t="s">
        <v>819</v>
      </c>
      <c r="M371" s="45" t="s">
        <v>379</v>
      </c>
      <c r="N371" s="56"/>
      <c r="O371" s="331"/>
      <c r="P371" s="332"/>
      <c r="Q371" s="332"/>
      <c r="R371" s="332"/>
      <c r="S371" s="332"/>
      <c r="T371" s="332"/>
      <c r="U371" s="332"/>
      <c r="V371" s="332"/>
      <c r="W371" s="332"/>
      <c r="X371" s="332"/>
      <c r="Y371" s="332"/>
      <c r="Z371" s="332"/>
      <c r="AA371" s="332"/>
      <c r="AB371" s="332"/>
      <c r="AC371" s="333"/>
    </row>
    <row r="372" spans="1:29" ht="15" customHeight="1" thickBot="1">
      <c r="A372" s="56"/>
      <c r="B372" s="56"/>
      <c r="C372" s="56"/>
      <c r="D372" s="199" t="s">
        <v>382</v>
      </c>
      <c r="E372" s="106" t="s">
        <v>820</v>
      </c>
      <c r="F372" s="106" t="s">
        <v>820</v>
      </c>
      <c r="G372" s="106" t="s">
        <v>820</v>
      </c>
      <c r="H372" s="106" t="s">
        <v>820</v>
      </c>
      <c r="I372" s="106" t="s">
        <v>820</v>
      </c>
      <c r="J372" s="106" t="s">
        <v>820</v>
      </c>
      <c r="K372" s="106" t="s">
        <v>820</v>
      </c>
      <c r="L372" s="106" t="s">
        <v>820</v>
      </c>
      <c r="M372" s="45" t="s">
        <v>381</v>
      </c>
      <c r="N372" s="56"/>
      <c r="O372" s="340"/>
      <c r="P372" s="341"/>
      <c r="Q372" s="341"/>
      <c r="R372" s="341"/>
      <c r="S372" s="341"/>
      <c r="T372" s="341"/>
      <c r="U372" s="341"/>
      <c r="V372" s="341"/>
      <c r="W372" s="341"/>
      <c r="X372" s="341"/>
      <c r="Y372" s="341"/>
      <c r="Z372" s="341"/>
      <c r="AA372" s="341"/>
      <c r="AB372" s="341"/>
      <c r="AC372" s="342"/>
    </row>
    <row r="373" spans="1:29" ht="15" customHeight="1">
      <c r="A373" s="56"/>
      <c r="B373" s="56"/>
      <c r="C373" s="56"/>
      <c r="D373" s="200" t="s">
        <v>397</v>
      </c>
      <c r="E373" s="194" t="s">
        <v>650</v>
      </c>
      <c r="F373" s="194" t="s">
        <v>650</v>
      </c>
      <c r="G373" s="194" t="s">
        <v>650</v>
      </c>
      <c r="H373" s="194" t="s">
        <v>650</v>
      </c>
      <c r="I373" s="194" t="s">
        <v>650</v>
      </c>
      <c r="J373" s="194" t="s">
        <v>648</v>
      </c>
      <c r="K373" s="194" t="s">
        <v>648</v>
      </c>
      <c r="L373" s="195" t="s">
        <v>648</v>
      </c>
      <c r="M373" s="45" t="s">
        <v>396</v>
      </c>
      <c r="N373" s="56"/>
      <c r="O373" s="328" t="s">
        <v>59</v>
      </c>
      <c r="P373" s="329"/>
      <c r="Q373" s="329"/>
      <c r="R373" s="329"/>
      <c r="S373" s="329"/>
      <c r="T373" s="329"/>
      <c r="U373" s="329"/>
      <c r="V373" s="329"/>
      <c r="W373" s="329"/>
      <c r="X373" s="329"/>
      <c r="Y373" s="329"/>
      <c r="Z373" s="329"/>
      <c r="AA373" s="329"/>
      <c r="AB373" s="329"/>
      <c r="AC373" s="330"/>
    </row>
    <row r="374" spans="1:29" ht="15" customHeight="1">
      <c r="A374" s="56"/>
      <c r="B374" s="56"/>
      <c r="C374" s="56"/>
      <c r="D374" s="93" t="s">
        <v>380</v>
      </c>
      <c r="E374" s="42" t="s">
        <v>819</v>
      </c>
      <c r="F374" s="42" t="s">
        <v>819</v>
      </c>
      <c r="G374" s="42" t="s">
        <v>819</v>
      </c>
      <c r="H374" s="42" t="s">
        <v>819</v>
      </c>
      <c r="I374" s="42" t="s">
        <v>819</v>
      </c>
      <c r="J374" s="42" t="s">
        <v>819</v>
      </c>
      <c r="K374" s="42" t="s">
        <v>819</v>
      </c>
      <c r="L374" s="42" t="s">
        <v>819</v>
      </c>
      <c r="M374" s="45" t="s">
        <v>379</v>
      </c>
      <c r="N374" s="56"/>
      <c r="O374" s="331"/>
      <c r="P374" s="332"/>
      <c r="Q374" s="332"/>
      <c r="R374" s="332"/>
      <c r="S374" s="332"/>
      <c r="T374" s="332"/>
      <c r="U374" s="332"/>
      <c r="V374" s="332"/>
      <c r="W374" s="332"/>
      <c r="X374" s="332"/>
      <c r="Y374" s="332"/>
      <c r="Z374" s="332"/>
      <c r="AA374" s="332"/>
      <c r="AB374" s="332"/>
      <c r="AC374" s="333"/>
    </row>
    <row r="375" spans="1:29" ht="15" customHeight="1" thickBot="1">
      <c r="A375" s="56"/>
      <c r="B375" s="56"/>
      <c r="C375" s="56"/>
      <c r="D375" s="199" t="s">
        <v>382</v>
      </c>
      <c r="E375" s="172" t="s">
        <v>820</v>
      </c>
      <c r="F375" s="172" t="s">
        <v>820</v>
      </c>
      <c r="G375" s="172" t="s">
        <v>820</v>
      </c>
      <c r="H375" s="172" t="s">
        <v>820</v>
      </c>
      <c r="I375" s="172" t="s">
        <v>820</v>
      </c>
      <c r="J375" s="172" t="s">
        <v>820</v>
      </c>
      <c r="K375" s="172" t="s">
        <v>820</v>
      </c>
      <c r="L375" s="172" t="s">
        <v>820</v>
      </c>
      <c r="M375" s="45" t="s">
        <v>381</v>
      </c>
      <c r="N375" s="56"/>
      <c r="O375" s="340"/>
      <c r="P375" s="341"/>
      <c r="Q375" s="341"/>
      <c r="R375" s="341"/>
      <c r="S375" s="341"/>
      <c r="T375" s="341"/>
      <c r="U375" s="341"/>
      <c r="V375" s="341"/>
      <c r="W375" s="341"/>
      <c r="X375" s="341"/>
      <c r="Y375" s="341"/>
      <c r="Z375" s="341"/>
      <c r="AA375" s="341"/>
      <c r="AB375" s="341"/>
      <c r="AC375" s="342"/>
    </row>
    <row r="376" spans="1:29" ht="14" customHeight="1">
      <c r="A376" s="56"/>
      <c r="B376" s="56"/>
      <c r="C376" s="56"/>
      <c r="D376" s="200" t="s">
        <v>390</v>
      </c>
      <c r="E376" s="194" t="s">
        <v>650</v>
      </c>
      <c r="F376" s="194" t="s">
        <v>650</v>
      </c>
      <c r="G376" s="194" t="s">
        <v>650</v>
      </c>
      <c r="H376" s="194" t="s">
        <v>650</v>
      </c>
      <c r="I376" s="194" t="s">
        <v>650</v>
      </c>
      <c r="J376" s="194" t="s">
        <v>648</v>
      </c>
      <c r="K376" s="194" t="s">
        <v>648</v>
      </c>
      <c r="L376" s="195" t="s">
        <v>648</v>
      </c>
      <c r="M376" s="45" t="s">
        <v>389</v>
      </c>
      <c r="N376" s="56"/>
      <c r="O376" s="7"/>
    </row>
    <row r="377" spans="1:29" ht="15" customHeight="1">
      <c r="A377" s="56"/>
      <c r="B377" s="56"/>
      <c r="C377" s="56"/>
      <c r="D377" s="93" t="s">
        <v>392</v>
      </c>
      <c r="E377" s="42" t="s">
        <v>821</v>
      </c>
      <c r="F377" s="42" t="s">
        <v>821</v>
      </c>
      <c r="G377" s="42" t="s">
        <v>821</v>
      </c>
      <c r="H377" s="42" t="s">
        <v>821</v>
      </c>
      <c r="I377" s="42" t="s">
        <v>821</v>
      </c>
      <c r="J377" s="42" t="s">
        <v>821</v>
      </c>
      <c r="K377" s="42" t="s">
        <v>821</v>
      </c>
      <c r="L377" s="41" t="s">
        <v>821</v>
      </c>
      <c r="M377" s="45" t="s">
        <v>391</v>
      </c>
      <c r="N377" s="56"/>
      <c r="O377" s="7"/>
    </row>
    <row r="378" spans="1:29" ht="30.5" customHeight="1" thickBot="1">
      <c r="A378" s="56"/>
      <c r="B378" s="56"/>
      <c r="C378" s="56"/>
      <c r="D378" s="201" t="s">
        <v>818</v>
      </c>
      <c r="E378" s="106">
        <v>0</v>
      </c>
      <c r="F378" s="106">
        <v>0</v>
      </c>
      <c r="G378" s="106">
        <v>0</v>
      </c>
      <c r="H378" s="106">
        <v>0</v>
      </c>
      <c r="I378" s="106">
        <v>0</v>
      </c>
      <c r="J378" s="106">
        <v>0</v>
      </c>
      <c r="K378" s="106">
        <v>0</v>
      </c>
      <c r="L378" s="99">
        <v>0</v>
      </c>
      <c r="M378" s="45" t="s">
        <v>393</v>
      </c>
      <c r="N378" s="56"/>
      <c r="O378" s="7"/>
    </row>
    <row r="379" spans="1:29" ht="15" customHeight="1" thickBot="1">
      <c r="A379" s="56"/>
      <c r="B379" s="56"/>
      <c r="C379" s="56"/>
    </row>
    <row r="380" spans="1:29" ht="16" thickBot="1">
      <c r="A380" s="56"/>
      <c r="B380" s="56"/>
      <c r="C380" s="56"/>
      <c r="D380" s="296" t="s">
        <v>771</v>
      </c>
      <c r="E380" s="297"/>
      <c r="F380" s="297"/>
      <c r="G380" s="297"/>
      <c r="H380" s="297"/>
      <c r="I380" s="297"/>
      <c r="J380" s="297"/>
      <c r="K380" s="297"/>
      <c r="L380" s="297"/>
      <c r="M380" s="298"/>
      <c r="N380" s="56"/>
    </row>
    <row r="381" spans="1:29" ht="16" thickBot="1">
      <c r="A381" s="56"/>
      <c r="B381" s="56"/>
      <c r="C381" s="56"/>
      <c r="D381" s="296" t="s">
        <v>772</v>
      </c>
      <c r="E381" s="297"/>
      <c r="F381" s="297"/>
      <c r="G381" s="297"/>
      <c r="H381" s="297"/>
      <c r="I381" s="297"/>
      <c r="J381" s="297"/>
      <c r="K381" s="297"/>
      <c r="L381" s="297"/>
      <c r="M381" s="298"/>
      <c r="N381" s="56"/>
    </row>
    <row r="382" spans="1:29">
      <c r="A382" s="56"/>
      <c r="B382" s="56"/>
      <c r="C382" s="56"/>
      <c r="D382" s="174" t="s">
        <v>247</v>
      </c>
      <c r="E382" s="169" t="str">
        <f t="shared" ref="E382:M382" si="21">+E324</f>
        <v>Nord Stream AG (PE Germany)</v>
      </c>
      <c r="F382" s="169" t="str">
        <f t="shared" si="21"/>
        <v>Nord Stream AG (Stateless Permanent Establishment Germany)</v>
      </c>
      <c r="G382" s="169">
        <f t="shared" si="21"/>
        <v>0</v>
      </c>
      <c r="H382" s="169">
        <f t="shared" si="21"/>
        <v>0</v>
      </c>
      <c r="I382" s="169">
        <f t="shared" si="21"/>
        <v>0</v>
      </c>
      <c r="J382" s="169">
        <f t="shared" si="21"/>
        <v>0</v>
      </c>
      <c r="K382" s="169">
        <f t="shared" si="21"/>
        <v>0</v>
      </c>
      <c r="L382" s="169">
        <f t="shared" si="21"/>
        <v>0</v>
      </c>
      <c r="M382" s="170" t="str">
        <f t="shared" si="21"/>
        <v>Total amount</v>
      </c>
      <c r="N382" s="56"/>
    </row>
    <row r="383" spans="1:29">
      <c r="A383" s="56"/>
      <c r="B383" s="56"/>
      <c r="C383" s="56"/>
      <c r="D383" s="285" t="s">
        <v>773</v>
      </c>
      <c r="E383" s="383"/>
      <c r="F383" s="383"/>
      <c r="G383" s="383"/>
      <c r="H383" s="383"/>
      <c r="I383" s="383"/>
      <c r="J383" s="383"/>
      <c r="K383" s="383"/>
      <c r="L383" s="383"/>
      <c r="M383" s="286"/>
      <c r="N383" s="56"/>
    </row>
    <row r="384" spans="1:29">
      <c r="A384" s="56"/>
      <c r="B384" s="56"/>
      <c r="C384" s="56"/>
      <c r="D384" s="188" t="s">
        <v>774</v>
      </c>
      <c r="E384" s="42" t="s">
        <v>788</v>
      </c>
      <c r="F384" s="42" t="s">
        <v>788</v>
      </c>
      <c r="G384" s="42" t="s">
        <v>788</v>
      </c>
      <c r="H384" s="42" t="s">
        <v>788</v>
      </c>
      <c r="I384" s="42" t="s">
        <v>788</v>
      </c>
      <c r="J384" s="42" t="s">
        <v>788</v>
      </c>
      <c r="K384" s="42" t="s">
        <v>788</v>
      </c>
      <c r="L384" s="42" t="s">
        <v>788</v>
      </c>
      <c r="M384" s="150"/>
      <c r="N384" s="56"/>
    </row>
    <row r="385" spans="1:14" s="56" customFormat="1">
      <c r="D385" s="188" t="s">
        <v>775</v>
      </c>
      <c r="E385" s="42">
        <v>0</v>
      </c>
      <c r="F385" s="42">
        <v>0</v>
      </c>
      <c r="G385" s="42">
        <v>0</v>
      </c>
      <c r="H385" s="42">
        <v>0</v>
      </c>
      <c r="I385" s="42">
        <v>0</v>
      </c>
      <c r="J385" s="42">
        <v>0</v>
      </c>
      <c r="K385" s="42">
        <v>0</v>
      </c>
      <c r="L385" s="42">
        <v>0</v>
      </c>
      <c r="M385" s="150">
        <f>SUM(E385:L385)</f>
        <v>0</v>
      </c>
    </row>
    <row r="386" spans="1:14" s="56" customFormat="1">
      <c r="D386" s="23" t="s">
        <v>776</v>
      </c>
      <c r="E386" s="42">
        <v>0</v>
      </c>
      <c r="F386" s="42">
        <v>0</v>
      </c>
      <c r="G386" s="42">
        <v>0</v>
      </c>
      <c r="H386" s="42">
        <v>0</v>
      </c>
      <c r="I386" s="42">
        <v>0</v>
      </c>
      <c r="J386" s="42">
        <v>0</v>
      </c>
      <c r="K386" s="42">
        <v>0</v>
      </c>
      <c r="L386" s="42">
        <v>0</v>
      </c>
      <c r="M386" s="150">
        <f>SUM(E386:L386)</f>
        <v>0</v>
      </c>
    </row>
    <row r="387" spans="1:14" s="56" customFormat="1">
      <c r="D387" s="23" t="s">
        <v>777</v>
      </c>
      <c r="E387" s="181">
        <f>+E385-E386</f>
        <v>0</v>
      </c>
      <c r="F387" s="181">
        <f t="shared" ref="F387:L387" si="22">+F385-F386</f>
        <v>0</v>
      </c>
      <c r="G387" s="181">
        <f t="shared" si="22"/>
        <v>0</v>
      </c>
      <c r="H387" s="181">
        <f t="shared" si="22"/>
        <v>0</v>
      </c>
      <c r="I387" s="181">
        <f t="shared" si="22"/>
        <v>0</v>
      </c>
      <c r="J387" s="181">
        <f t="shared" si="22"/>
        <v>0</v>
      </c>
      <c r="K387" s="181">
        <f t="shared" si="22"/>
        <v>0</v>
      </c>
      <c r="L387" s="181">
        <f t="shared" si="22"/>
        <v>0</v>
      </c>
      <c r="M387" s="150">
        <f>SUM(E387:L387)</f>
        <v>0</v>
      </c>
    </row>
    <row r="388" spans="1:14">
      <c r="A388" s="56"/>
      <c r="B388" s="56"/>
      <c r="C388" s="56"/>
      <c r="D388" s="285" t="s">
        <v>778</v>
      </c>
      <c r="E388" s="383"/>
      <c r="F388" s="383"/>
      <c r="G388" s="383"/>
      <c r="H388" s="383"/>
      <c r="I388" s="383"/>
      <c r="J388" s="383"/>
      <c r="K388" s="383"/>
      <c r="L388" s="383"/>
      <c r="M388" s="286"/>
      <c r="N388" s="56"/>
    </row>
    <row r="389" spans="1:14" s="56" customFormat="1">
      <c r="D389" s="23" t="s">
        <v>779</v>
      </c>
      <c r="E389" s="42" t="s">
        <v>788</v>
      </c>
      <c r="F389" s="42" t="s">
        <v>788</v>
      </c>
      <c r="G389" s="42" t="s">
        <v>788</v>
      </c>
      <c r="H389" s="42" t="s">
        <v>788</v>
      </c>
      <c r="I389" s="42" t="s">
        <v>788</v>
      </c>
      <c r="J389" s="42" t="s">
        <v>788</v>
      </c>
      <c r="K389" s="42" t="s">
        <v>788</v>
      </c>
      <c r="L389" s="42" t="s">
        <v>788</v>
      </c>
      <c r="M389" s="184"/>
    </row>
    <row r="390" spans="1:14" s="56" customFormat="1">
      <c r="D390" s="23" t="s">
        <v>780</v>
      </c>
      <c r="E390" s="42">
        <v>0</v>
      </c>
      <c r="F390" s="42">
        <v>0</v>
      </c>
      <c r="G390" s="42">
        <v>0</v>
      </c>
      <c r="H390" s="42">
        <v>0</v>
      </c>
      <c r="I390" s="42">
        <v>0</v>
      </c>
      <c r="J390" s="42">
        <v>0</v>
      </c>
      <c r="K390" s="42">
        <v>0</v>
      </c>
      <c r="L390" s="42">
        <v>0</v>
      </c>
      <c r="M390" s="150">
        <f>SUM(E390:L390)</f>
        <v>0</v>
      </c>
    </row>
    <row r="391" spans="1:14" s="56" customFormat="1">
      <c r="D391" s="23" t="s">
        <v>781</v>
      </c>
      <c r="E391" s="42">
        <v>0</v>
      </c>
      <c r="F391" s="42">
        <v>0</v>
      </c>
      <c r="G391" s="42">
        <v>0</v>
      </c>
      <c r="H391" s="42">
        <v>0</v>
      </c>
      <c r="I391" s="42">
        <v>0</v>
      </c>
      <c r="J391" s="42">
        <v>0</v>
      </c>
      <c r="K391" s="42">
        <v>0</v>
      </c>
      <c r="L391" s="42">
        <v>0</v>
      </c>
      <c r="M391" s="150">
        <f>SUM(E391:L391)</f>
        <v>0</v>
      </c>
    </row>
    <row r="392" spans="1:14" s="56" customFormat="1">
      <c r="D392" s="23" t="s">
        <v>782</v>
      </c>
      <c r="E392" s="181">
        <f>+E390-E391</f>
        <v>0</v>
      </c>
      <c r="F392" s="181">
        <f t="shared" ref="F392:L392" si="23">+F390-F391</f>
        <v>0</v>
      </c>
      <c r="G392" s="181">
        <f t="shared" si="23"/>
        <v>0</v>
      </c>
      <c r="H392" s="181">
        <f t="shared" si="23"/>
        <v>0</v>
      </c>
      <c r="I392" s="181">
        <f t="shared" si="23"/>
        <v>0</v>
      </c>
      <c r="J392" s="181">
        <f t="shared" si="23"/>
        <v>0</v>
      </c>
      <c r="K392" s="181">
        <f t="shared" si="23"/>
        <v>0</v>
      </c>
      <c r="L392" s="181">
        <f t="shared" si="23"/>
        <v>0</v>
      </c>
      <c r="M392" s="150">
        <f>SUM(E392:L392)</f>
        <v>0</v>
      </c>
    </row>
    <row r="393" spans="1:14">
      <c r="A393" s="56"/>
      <c r="B393" s="56"/>
      <c r="C393" s="56"/>
      <c r="D393" s="285" t="s">
        <v>783</v>
      </c>
      <c r="E393" s="383"/>
      <c r="F393" s="383"/>
      <c r="G393" s="383"/>
      <c r="H393" s="383"/>
      <c r="I393" s="383"/>
      <c r="J393" s="383"/>
      <c r="K393" s="383"/>
      <c r="L393" s="383"/>
      <c r="M393" s="286"/>
      <c r="N393" s="56"/>
    </row>
    <row r="394" spans="1:14" s="56" customFormat="1">
      <c r="D394" s="23" t="s">
        <v>784</v>
      </c>
      <c r="E394" s="42">
        <v>0</v>
      </c>
      <c r="F394" s="42">
        <v>0</v>
      </c>
      <c r="G394" s="42">
        <v>0</v>
      </c>
      <c r="H394" s="42">
        <v>0</v>
      </c>
      <c r="I394" s="42">
        <v>0</v>
      </c>
      <c r="J394" s="42">
        <v>0</v>
      </c>
      <c r="K394" s="42">
        <v>0</v>
      </c>
      <c r="L394" s="42">
        <v>0</v>
      </c>
      <c r="M394" s="150">
        <f>SUM(E394:L394)</f>
        <v>0</v>
      </c>
    </row>
    <row r="395" spans="1:14" s="56" customFormat="1">
      <c r="D395" s="23" t="s">
        <v>785</v>
      </c>
      <c r="E395" s="42">
        <v>0</v>
      </c>
      <c r="F395" s="42">
        <v>0</v>
      </c>
      <c r="G395" s="42">
        <v>0</v>
      </c>
      <c r="H395" s="42">
        <v>0</v>
      </c>
      <c r="I395" s="42">
        <v>0</v>
      </c>
      <c r="J395" s="42">
        <v>0</v>
      </c>
      <c r="K395" s="42">
        <v>0</v>
      </c>
      <c r="L395" s="42">
        <v>0</v>
      </c>
      <c r="M395" s="150">
        <f>SUM(E395:L395)</f>
        <v>0</v>
      </c>
    </row>
    <row r="396" spans="1:14">
      <c r="A396" s="56"/>
      <c r="B396" s="56"/>
      <c r="C396" s="56"/>
      <c r="D396" s="285" t="s">
        <v>786</v>
      </c>
      <c r="E396" s="383"/>
      <c r="F396" s="383"/>
      <c r="G396" s="383"/>
      <c r="H396" s="383"/>
      <c r="I396" s="383"/>
      <c r="J396" s="383"/>
      <c r="K396" s="383"/>
      <c r="L396" s="383"/>
      <c r="M396" s="286"/>
      <c r="N396" s="56"/>
    </row>
    <row r="397" spans="1:14" s="56" customFormat="1" ht="16" thickBot="1">
      <c r="D397" s="176" t="s">
        <v>787</v>
      </c>
      <c r="E397" s="106">
        <v>0</v>
      </c>
      <c r="F397" s="106">
        <v>0</v>
      </c>
      <c r="G397" s="106">
        <v>0</v>
      </c>
      <c r="H397" s="106">
        <v>0</v>
      </c>
      <c r="I397" s="106">
        <v>0</v>
      </c>
      <c r="J397" s="106">
        <v>0</v>
      </c>
      <c r="K397" s="106">
        <v>0</v>
      </c>
      <c r="L397" s="106">
        <v>0</v>
      </c>
      <c r="M397" s="164">
        <f>SUM(E397:L397)</f>
        <v>0</v>
      </c>
    </row>
    <row r="398" spans="1:14" ht="16" thickBot="1">
      <c r="A398" s="56"/>
      <c r="B398" s="56"/>
      <c r="C398" s="56"/>
      <c r="D398" s="4"/>
      <c r="E398" s="182"/>
      <c r="F398" s="182"/>
      <c r="G398" s="182"/>
      <c r="H398" s="182"/>
      <c r="I398" s="182"/>
      <c r="J398" s="182"/>
      <c r="K398" s="182"/>
      <c r="L398" s="182"/>
      <c r="M398" s="182"/>
      <c r="N398" s="56"/>
    </row>
    <row r="399" spans="1:14" ht="16" thickBot="1">
      <c r="A399" s="56"/>
      <c r="B399" s="56"/>
      <c r="C399" s="56"/>
      <c r="D399" s="296" t="s">
        <v>789</v>
      </c>
      <c r="E399" s="298"/>
      <c r="F399" s="182"/>
      <c r="G399" s="182"/>
      <c r="H399" s="182"/>
      <c r="I399" s="182"/>
      <c r="J399" s="182"/>
      <c r="K399" s="182"/>
      <c r="L399" s="182"/>
      <c r="M399" s="182"/>
      <c r="N399" s="56"/>
    </row>
    <row r="400" spans="1:14">
      <c r="A400" s="56"/>
      <c r="B400" s="56"/>
      <c r="C400" s="56"/>
      <c r="D400" s="153" t="s">
        <v>790</v>
      </c>
      <c r="E400" s="189">
        <v>0</v>
      </c>
      <c r="F400" s="182"/>
      <c r="G400" s="182"/>
      <c r="H400" s="182"/>
      <c r="I400" s="182"/>
      <c r="J400" s="182"/>
      <c r="K400" s="182"/>
      <c r="L400" s="182"/>
      <c r="M400" s="182"/>
      <c r="N400" s="56"/>
    </row>
    <row r="401" spans="1:14">
      <c r="A401" s="56"/>
      <c r="B401" s="56"/>
      <c r="C401" s="56"/>
      <c r="D401" s="23" t="s">
        <v>791</v>
      </c>
      <c r="E401" s="184">
        <f>+E400*0.5</f>
        <v>0</v>
      </c>
      <c r="F401" s="182"/>
      <c r="G401" s="182"/>
      <c r="H401" s="182"/>
      <c r="I401" s="182"/>
      <c r="J401" s="182"/>
      <c r="K401" s="182"/>
      <c r="L401" s="182"/>
      <c r="M401" s="182"/>
      <c r="N401" s="56"/>
    </row>
    <row r="402" spans="1:14">
      <c r="A402" s="56"/>
      <c r="B402" s="56"/>
      <c r="C402" s="56"/>
      <c r="D402" s="23" t="s">
        <v>792</v>
      </c>
      <c r="E402" s="41">
        <v>0</v>
      </c>
      <c r="F402" s="182"/>
      <c r="G402" s="182"/>
      <c r="H402" s="182"/>
      <c r="I402" s="182"/>
      <c r="J402" s="182"/>
      <c r="K402" s="182"/>
      <c r="L402" s="182"/>
      <c r="M402" s="182"/>
      <c r="N402" s="56"/>
    </row>
    <row r="403" spans="1:14" ht="16" thickBot="1">
      <c r="A403" s="56"/>
      <c r="B403" s="56"/>
      <c r="C403" s="56"/>
      <c r="D403" s="176" t="s">
        <v>793</v>
      </c>
      <c r="E403" s="186">
        <f>+E402-E401</f>
        <v>0</v>
      </c>
      <c r="F403" s="182"/>
      <c r="G403" s="182"/>
      <c r="H403" s="182"/>
      <c r="I403" s="182"/>
      <c r="J403" s="182"/>
      <c r="K403" s="182"/>
      <c r="L403" s="182"/>
      <c r="M403" s="182"/>
      <c r="N403" s="56"/>
    </row>
    <row r="404" spans="1:14" ht="16" thickBot="1">
      <c r="A404" s="56"/>
      <c r="B404" s="56"/>
      <c r="C404" s="56"/>
      <c r="D404" s="4"/>
      <c r="E404" s="182"/>
      <c r="F404" s="182"/>
      <c r="G404" s="182"/>
      <c r="H404" s="182"/>
      <c r="I404" s="182"/>
      <c r="J404" s="182"/>
      <c r="K404" s="182"/>
      <c r="L404" s="182"/>
      <c r="M404" s="182"/>
      <c r="N404" s="56"/>
    </row>
    <row r="405" spans="1:14" ht="16" thickBot="1">
      <c r="A405" s="56"/>
      <c r="B405" s="56"/>
      <c r="C405" s="56"/>
      <c r="D405" s="296" t="s">
        <v>794</v>
      </c>
      <c r="E405" s="298"/>
      <c r="F405" s="182"/>
      <c r="G405" s="182"/>
      <c r="H405" s="182"/>
      <c r="I405" s="182"/>
      <c r="J405" s="182"/>
      <c r="K405" s="182"/>
      <c r="L405" s="182"/>
      <c r="M405" s="182"/>
      <c r="N405" s="56"/>
    </row>
    <row r="406" spans="1:14">
      <c r="A406" s="56"/>
      <c r="B406" s="56"/>
      <c r="C406" s="56"/>
      <c r="D406" s="384" t="s">
        <v>795</v>
      </c>
      <c r="E406" s="385"/>
      <c r="F406" s="182"/>
      <c r="G406" s="182"/>
      <c r="H406" s="182"/>
      <c r="I406" s="182"/>
      <c r="J406" s="182"/>
      <c r="K406" s="182"/>
      <c r="L406" s="182"/>
      <c r="M406" s="182"/>
      <c r="N406" s="56"/>
    </row>
    <row r="407" spans="1:14">
      <c r="A407" s="56"/>
      <c r="B407" s="56"/>
      <c r="C407" s="56"/>
      <c r="D407" s="153" t="s">
        <v>798</v>
      </c>
      <c r="E407" s="41" t="s">
        <v>801</v>
      </c>
      <c r="F407" s="187"/>
      <c r="G407" s="187"/>
      <c r="H407" s="187"/>
      <c r="I407" s="182"/>
      <c r="J407" s="182"/>
      <c r="K407" s="182"/>
      <c r="L407" s="182"/>
      <c r="M407" s="182"/>
      <c r="N407" s="56"/>
    </row>
    <row r="408" spans="1:14">
      <c r="A408" s="56"/>
      <c r="B408" s="56"/>
      <c r="C408" s="56"/>
      <c r="D408" s="153" t="s">
        <v>796</v>
      </c>
      <c r="E408" s="41" t="s">
        <v>802</v>
      </c>
      <c r="F408" s="182"/>
      <c r="G408" s="182"/>
      <c r="H408" s="182"/>
      <c r="I408" s="182"/>
      <c r="J408" s="182"/>
      <c r="K408" s="182"/>
      <c r="L408" s="182"/>
      <c r="M408" s="182"/>
      <c r="N408" s="56"/>
    </row>
    <row r="409" spans="1:14">
      <c r="A409" s="56"/>
      <c r="B409" s="56"/>
      <c r="C409" s="56"/>
      <c r="D409" s="153" t="s">
        <v>797</v>
      </c>
      <c r="E409" s="41">
        <v>0</v>
      </c>
      <c r="F409" s="182"/>
      <c r="G409" s="182"/>
      <c r="H409" s="182"/>
      <c r="I409" s="182"/>
      <c r="J409" s="182"/>
      <c r="K409" s="182"/>
      <c r="L409" s="182"/>
      <c r="M409" s="182"/>
      <c r="N409" s="56"/>
    </row>
    <row r="410" spans="1:14">
      <c r="A410" s="56"/>
      <c r="B410" s="56"/>
      <c r="C410" s="56"/>
      <c r="D410" s="153" t="s">
        <v>799</v>
      </c>
      <c r="E410" s="41">
        <v>0</v>
      </c>
      <c r="F410" s="182"/>
      <c r="G410" s="182"/>
      <c r="H410" s="182"/>
      <c r="I410" s="182"/>
      <c r="J410" s="182"/>
      <c r="K410" s="182"/>
      <c r="L410" s="182"/>
      <c r="M410" s="182"/>
      <c r="N410" s="56"/>
    </row>
    <row r="411" spans="1:14" ht="16" thickBot="1">
      <c r="A411" s="56"/>
      <c r="B411" s="56"/>
      <c r="C411" s="56"/>
      <c r="D411" s="190" t="s">
        <v>800</v>
      </c>
      <c r="E411" s="99" t="s">
        <v>803</v>
      </c>
      <c r="F411" s="182"/>
      <c r="G411" s="182"/>
      <c r="H411" s="182"/>
      <c r="I411" s="182"/>
      <c r="J411" s="182"/>
      <c r="K411" s="182"/>
      <c r="L411" s="182"/>
      <c r="M411" s="182"/>
      <c r="N411" s="56"/>
    </row>
    <row r="412" spans="1:14" ht="16" thickBot="1">
      <c r="A412" s="56"/>
      <c r="B412" s="56"/>
      <c r="C412" s="56"/>
      <c r="D412" s="187"/>
      <c r="E412" s="182"/>
      <c r="F412" s="182"/>
      <c r="G412" s="182"/>
      <c r="H412" s="182"/>
      <c r="I412" s="182"/>
      <c r="J412" s="182"/>
      <c r="K412" s="182"/>
      <c r="L412" s="182"/>
      <c r="M412" s="182"/>
      <c r="N412" s="56"/>
    </row>
    <row r="413" spans="1:14" ht="16" thickBot="1">
      <c r="A413" s="56"/>
      <c r="B413" s="56"/>
      <c r="C413" s="56"/>
      <c r="D413" s="311" t="s">
        <v>804</v>
      </c>
      <c r="E413" s="360"/>
      <c r="F413" s="360"/>
      <c r="G413" s="360"/>
      <c r="H413" s="360"/>
      <c r="I413" s="360"/>
      <c r="J413" s="360"/>
      <c r="K413" s="360"/>
      <c r="L413" s="312"/>
      <c r="M413" s="56"/>
      <c r="N413" s="56"/>
    </row>
    <row r="414" spans="1:14">
      <c r="A414" s="56"/>
      <c r="B414" s="56"/>
      <c r="C414" s="56"/>
      <c r="D414" s="174" t="s">
        <v>805</v>
      </c>
      <c r="E414" s="169" t="str">
        <f>+E382</f>
        <v>Nord Stream AG (PE Germany)</v>
      </c>
      <c r="F414" s="169" t="str">
        <f t="shared" ref="F414:L414" si="24">+F382</f>
        <v>Nord Stream AG (Stateless Permanent Establishment Germany)</v>
      </c>
      <c r="G414" s="169">
        <f t="shared" si="24"/>
        <v>0</v>
      </c>
      <c r="H414" s="169">
        <f t="shared" si="24"/>
        <v>0</v>
      </c>
      <c r="I414" s="169">
        <f t="shared" si="24"/>
        <v>0</v>
      </c>
      <c r="J414" s="169">
        <f t="shared" si="24"/>
        <v>0</v>
      </c>
      <c r="K414" s="169">
        <f t="shared" si="24"/>
        <v>0</v>
      </c>
      <c r="L414" s="170">
        <f t="shared" si="24"/>
        <v>0</v>
      </c>
      <c r="M414" s="45" t="s">
        <v>245</v>
      </c>
      <c r="N414" s="45" t="s">
        <v>403</v>
      </c>
    </row>
    <row r="415" spans="1:14" ht="16" thickBot="1">
      <c r="A415" s="56"/>
      <c r="B415" s="56"/>
      <c r="C415" s="56"/>
      <c r="D415" s="176" t="s">
        <v>806</v>
      </c>
      <c r="E415" s="106" t="s">
        <v>807</v>
      </c>
      <c r="F415" s="106" t="s">
        <v>807</v>
      </c>
      <c r="G415" s="106" t="s">
        <v>807</v>
      </c>
      <c r="H415" s="106" t="s">
        <v>807</v>
      </c>
      <c r="I415" s="106" t="s">
        <v>807</v>
      </c>
      <c r="J415" s="106" t="s">
        <v>807</v>
      </c>
      <c r="K415" s="106" t="s">
        <v>807</v>
      </c>
      <c r="L415" s="99" t="s">
        <v>807</v>
      </c>
      <c r="M415" s="45" t="s">
        <v>404</v>
      </c>
      <c r="N415" s="45" t="s">
        <v>405</v>
      </c>
    </row>
    <row r="416" spans="1:14">
      <c r="A416" s="56"/>
      <c r="B416" s="56"/>
      <c r="C416" s="56"/>
      <c r="D416" s="56"/>
      <c r="E416" s="56"/>
      <c r="F416" s="7"/>
      <c r="G416" s="7"/>
      <c r="H416" s="7"/>
      <c r="I416" s="7"/>
      <c r="J416" s="7"/>
      <c r="K416" s="7"/>
      <c r="L416" s="7"/>
      <c r="M416" s="7"/>
      <c r="N416" s="7"/>
    </row>
    <row r="417" spans="1:15" ht="16" thickBot="1">
      <c r="A417" s="56"/>
      <c r="B417" s="56"/>
      <c r="C417" s="56"/>
      <c r="D417" s="56"/>
      <c r="E417" s="56"/>
      <c r="F417" s="7"/>
      <c r="G417" s="7"/>
      <c r="H417" s="7"/>
      <c r="I417" s="7"/>
      <c r="J417" s="7"/>
      <c r="K417" s="7"/>
      <c r="L417" s="7"/>
      <c r="M417" s="7"/>
      <c r="N417" s="7"/>
    </row>
    <row r="418" spans="1:15" ht="16" thickBot="1">
      <c r="A418" s="56"/>
      <c r="B418" s="56"/>
      <c r="C418" s="56"/>
      <c r="D418" s="296" t="s">
        <v>406</v>
      </c>
      <c r="E418" s="298" t="s">
        <v>1</v>
      </c>
      <c r="F418" s="2"/>
      <c r="G418" s="2"/>
      <c r="H418" s="2"/>
      <c r="I418" s="2"/>
      <c r="J418" s="7"/>
      <c r="K418" s="7"/>
      <c r="L418" s="7"/>
      <c r="M418" s="7"/>
      <c r="N418" s="7"/>
    </row>
    <row r="419" spans="1:15" ht="16" thickBot="1">
      <c r="A419" s="56"/>
      <c r="B419" s="56"/>
      <c r="C419" s="56"/>
      <c r="D419" s="296" t="s">
        <v>538</v>
      </c>
      <c r="E419" s="298"/>
      <c r="F419" s="2"/>
      <c r="G419" s="2"/>
      <c r="H419" s="2"/>
      <c r="I419" s="2"/>
      <c r="J419" s="7"/>
      <c r="K419" s="7"/>
      <c r="L419" s="7"/>
      <c r="M419" s="7"/>
      <c r="N419" s="7"/>
    </row>
    <row r="420" spans="1:15">
      <c r="A420" s="56"/>
      <c r="B420" s="56"/>
      <c r="C420" s="56"/>
      <c r="D420" s="202" t="s">
        <v>822</v>
      </c>
      <c r="E420" s="203">
        <f>IF(15%-E36&gt;0%,15%-E36,0)</f>
        <v>0.13547326068844665</v>
      </c>
      <c r="F420" s="45" t="s">
        <v>407</v>
      </c>
      <c r="G420" s="45" t="s">
        <v>409</v>
      </c>
      <c r="H420" s="56"/>
      <c r="I420" s="56"/>
      <c r="J420" s="7"/>
      <c r="K420" s="7"/>
      <c r="L420" s="7"/>
      <c r="M420" s="7"/>
      <c r="N420" s="7"/>
      <c r="O420" s="32"/>
    </row>
    <row r="421" spans="1:15">
      <c r="A421" s="56"/>
      <c r="B421" s="56"/>
      <c r="C421" s="56"/>
      <c r="D421" s="24" t="s">
        <v>823</v>
      </c>
      <c r="E421" s="204">
        <f>+E437</f>
        <v>682800</v>
      </c>
      <c r="F421" s="45" t="s">
        <v>408</v>
      </c>
      <c r="G421" s="45" t="s">
        <v>411</v>
      </c>
      <c r="H421" s="56"/>
      <c r="I421" s="56"/>
      <c r="J421" s="7"/>
      <c r="K421" s="7"/>
      <c r="L421" s="7"/>
      <c r="M421" s="7"/>
      <c r="N421" s="7"/>
    </row>
    <row r="422" spans="1:15">
      <c r="A422" s="56"/>
      <c r="B422" s="56"/>
      <c r="C422" s="56"/>
      <c r="D422" s="24" t="s">
        <v>824</v>
      </c>
      <c r="E422" s="204">
        <f>+E16-E421</f>
        <v>261155037</v>
      </c>
      <c r="F422" s="45" t="s">
        <v>410</v>
      </c>
      <c r="G422" s="45" t="s">
        <v>413</v>
      </c>
      <c r="H422" s="56"/>
      <c r="I422" s="56"/>
      <c r="J422" s="7"/>
      <c r="K422" s="7"/>
      <c r="L422" s="7"/>
      <c r="M422" s="7"/>
      <c r="N422" s="7"/>
    </row>
    <row r="423" spans="1:15">
      <c r="A423" s="56"/>
      <c r="B423" s="56"/>
      <c r="C423" s="56"/>
      <c r="D423" s="24" t="s">
        <v>825</v>
      </c>
      <c r="E423" s="205">
        <f>+E475</f>
        <v>0</v>
      </c>
      <c r="F423" s="45" t="s">
        <v>412</v>
      </c>
      <c r="G423" s="45" t="s">
        <v>415</v>
      </c>
      <c r="H423" s="56"/>
      <c r="I423" s="56"/>
      <c r="J423" s="7"/>
      <c r="K423" s="7"/>
      <c r="L423" s="7"/>
      <c r="M423" s="7"/>
      <c r="N423" s="7"/>
    </row>
    <row r="424" spans="1:15">
      <c r="A424" s="56"/>
      <c r="B424" s="56"/>
      <c r="C424" s="56"/>
      <c r="D424" s="24" t="s">
        <v>826</v>
      </c>
      <c r="E424" s="41">
        <v>0</v>
      </c>
      <c r="F424" s="45" t="s">
        <v>414</v>
      </c>
      <c r="G424" s="45" t="s">
        <v>417</v>
      </c>
      <c r="H424" s="56"/>
      <c r="I424" s="56"/>
      <c r="J424" s="7"/>
      <c r="K424" s="7"/>
      <c r="L424" s="7"/>
      <c r="M424" s="7"/>
      <c r="N424" s="7"/>
    </row>
    <row r="425" spans="1:15" ht="16" thickBot="1">
      <c r="A425" s="56"/>
      <c r="B425" s="56"/>
      <c r="C425" s="56"/>
      <c r="D425" s="25" t="s">
        <v>827</v>
      </c>
      <c r="E425" s="206">
        <f>+(E420*E422)+E423-E424</f>
        <v>35379524.40760193</v>
      </c>
      <c r="F425" s="45" t="s">
        <v>416</v>
      </c>
      <c r="G425" s="45" t="s">
        <v>419</v>
      </c>
      <c r="H425" s="56"/>
      <c r="I425" s="56"/>
      <c r="J425" s="7"/>
      <c r="K425" s="7"/>
      <c r="L425" s="7"/>
      <c r="M425" s="7"/>
      <c r="N425" s="7"/>
    </row>
    <row r="426" spans="1:15" ht="16" thickBot="1">
      <c r="A426" s="56"/>
      <c r="B426" s="56"/>
      <c r="C426" s="56"/>
      <c r="D426" s="56"/>
      <c r="E426" s="56"/>
      <c r="F426" s="45" t="s">
        <v>418</v>
      </c>
      <c r="G426" s="45"/>
      <c r="H426" s="56"/>
      <c r="I426" s="56"/>
      <c r="J426" s="7"/>
      <c r="K426" s="7"/>
      <c r="L426" s="7"/>
      <c r="M426" s="7"/>
      <c r="N426" s="7"/>
    </row>
    <row r="427" spans="1:15" ht="16" hidden="1" thickBot="1">
      <c r="A427" s="56"/>
      <c r="B427" s="56"/>
      <c r="C427" s="56"/>
      <c r="D427" s="56"/>
      <c r="E427" s="56"/>
      <c r="F427" s="56"/>
      <c r="G427" s="56"/>
      <c r="H427" s="56"/>
      <c r="I427" s="56"/>
      <c r="J427" s="7"/>
      <c r="K427" s="7"/>
      <c r="L427" s="7"/>
      <c r="M427" s="7"/>
      <c r="N427" s="7"/>
    </row>
    <row r="428" spans="1:15" ht="16" thickBot="1">
      <c r="A428" s="56"/>
      <c r="B428" s="56"/>
      <c r="C428" s="56"/>
      <c r="D428" s="296" t="s">
        <v>420</v>
      </c>
      <c r="E428" s="298" t="s">
        <v>1</v>
      </c>
      <c r="F428" s="56"/>
      <c r="G428" s="56"/>
      <c r="H428" s="56"/>
      <c r="I428" s="56"/>
      <c r="J428" s="7"/>
      <c r="K428" s="7"/>
      <c r="L428" s="7"/>
      <c r="M428" s="7"/>
      <c r="N428" s="7"/>
    </row>
    <row r="429" spans="1:15" ht="16" thickBot="1">
      <c r="A429" s="56"/>
      <c r="B429" s="56"/>
      <c r="C429" s="56"/>
      <c r="D429" s="311" t="s">
        <v>833</v>
      </c>
      <c r="E429" s="312"/>
      <c r="F429" s="45"/>
      <c r="G429" s="45" t="s">
        <v>421</v>
      </c>
      <c r="I429" s="56"/>
      <c r="J429" s="7"/>
      <c r="K429" s="7"/>
      <c r="L429" s="7"/>
      <c r="M429" s="7"/>
      <c r="N429" s="7"/>
    </row>
    <row r="430" spans="1:15">
      <c r="A430" s="56"/>
      <c r="B430" s="56"/>
      <c r="C430" s="56"/>
      <c r="D430" s="386" t="s">
        <v>835</v>
      </c>
      <c r="E430" s="387"/>
      <c r="F430" s="45"/>
      <c r="G430" s="45"/>
      <c r="I430" s="56"/>
      <c r="J430" s="7"/>
      <c r="K430" s="7"/>
      <c r="L430" s="7"/>
      <c r="M430" s="7"/>
      <c r="N430" s="7"/>
    </row>
    <row r="431" spans="1:15">
      <c r="A431" s="56"/>
      <c r="B431" s="56"/>
      <c r="C431" s="56"/>
      <c r="D431" s="24" t="s">
        <v>828</v>
      </c>
      <c r="E431" s="204">
        <f>+M442</f>
        <v>600000</v>
      </c>
      <c r="F431" s="45" t="s">
        <v>422</v>
      </c>
      <c r="G431" s="45" t="s">
        <v>423</v>
      </c>
      <c r="I431" s="56"/>
      <c r="J431" s="7"/>
      <c r="K431" s="7"/>
      <c r="L431" s="7"/>
      <c r="M431" s="7"/>
      <c r="N431" s="7"/>
    </row>
    <row r="432" spans="1:15" ht="16" thickBot="1">
      <c r="A432" s="56"/>
      <c r="B432" s="56"/>
      <c r="C432" s="56"/>
      <c r="D432" s="208" t="s">
        <v>829</v>
      </c>
      <c r="E432" s="209">
        <v>9.8000000000000004E-2</v>
      </c>
      <c r="F432" s="45" t="s">
        <v>424</v>
      </c>
      <c r="G432" s="45" t="s">
        <v>425</v>
      </c>
      <c r="I432" s="56"/>
      <c r="J432" s="7"/>
      <c r="K432" s="7"/>
      <c r="L432" s="7"/>
      <c r="M432" s="7"/>
      <c r="N432" s="7"/>
    </row>
    <row r="433" spans="1:30">
      <c r="A433" s="56"/>
      <c r="B433" s="56"/>
      <c r="C433" s="56"/>
      <c r="D433" s="379" t="s">
        <v>836</v>
      </c>
      <c r="E433" s="380"/>
      <c r="F433" s="45"/>
      <c r="G433" s="45"/>
      <c r="I433" s="56"/>
      <c r="J433" s="7"/>
      <c r="K433" s="7"/>
      <c r="L433" s="7"/>
      <c r="M433" s="7"/>
      <c r="N433" s="7"/>
    </row>
    <row r="434" spans="1:30">
      <c r="A434" s="56"/>
      <c r="B434" s="56"/>
      <c r="C434" s="56"/>
      <c r="D434" s="24" t="s">
        <v>830</v>
      </c>
      <c r="E434" s="204">
        <f>+M443</f>
        <v>8000000</v>
      </c>
      <c r="F434" s="45" t="s">
        <v>426</v>
      </c>
      <c r="G434" s="45" t="s">
        <v>427</v>
      </c>
      <c r="I434" s="92"/>
      <c r="J434" s="7"/>
      <c r="K434" s="7"/>
      <c r="L434" s="7"/>
      <c r="M434" s="7"/>
      <c r="N434" s="7"/>
    </row>
    <row r="435" spans="1:30" ht="16" thickBot="1">
      <c r="A435" s="56"/>
      <c r="B435" s="56"/>
      <c r="C435" s="56"/>
      <c r="D435" s="208" t="s">
        <v>831</v>
      </c>
      <c r="E435" s="209">
        <v>7.8E-2</v>
      </c>
      <c r="F435" s="45" t="s">
        <v>428</v>
      </c>
      <c r="G435" s="45" t="s">
        <v>429</v>
      </c>
      <c r="I435" s="56"/>
      <c r="J435" s="7"/>
      <c r="K435" s="7"/>
      <c r="L435" s="7"/>
      <c r="M435" s="7"/>
      <c r="N435" s="7"/>
    </row>
    <row r="436" spans="1:30">
      <c r="A436" s="56"/>
      <c r="B436" s="56"/>
      <c r="C436" s="56"/>
      <c r="D436" s="379" t="s">
        <v>114</v>
      </c>
      <c r="E436" s="380"/>
      <c r="F436" s="45"/>
      <c r="G436" s="45"/>
      <c r="I436" s="56"/>
      <c r="J436" s="7"/>
      <c r="K436" s="7"/>
      <c r="L436" s="7"/>
      <c r="M436" s="7"/>
      <c r="N436" s="7"/>
    </row>
    <row r="437" spans="1:30" ht="16" thickBot="1">
      <c r="A437" s="56"/>
      <c r="B437" s="56"/>
      <c r="C437" s="56"/>
      <c r="D437" s="25" t="s">
        <v>832</v>
      </c>
      <c r="E437" s="206">
        <f>(E431*E432)+(E434*E435)</f>
        <v>682800</v>
      </c>
      <c r="F437" s="45" t="s">
        <v>430</v>
      </c>
      <c r="G437" s="45" t="s">
        <v>431</v>
      </c>
      <c r="I437" s="56"/>
      <c r="J437" s="7"/>
      <c r="K437" s="7"/>
      <c r="L437" s="7"/>
      <c r="M437" s="7"/>
      <c r="N437" s="7"/>
    </row>
    <row r="438" spans="1:30">
      <c r="A438" s="56"/>
      <c r="B438" s="56"/>
      <c r="C438" s="56"/>
      <c r="D438" s="56"/>
      <c r="E438" s="56"/>
      <c r="F438" s="56"/>
      <c r="G438" s="56"/>
      <c r="H438" s="56"/>
      <c r="I438" s="56"/>
      <c r="J438" s="7"/>
      <c r="K438" s="7"/>
      <c r="L438" s="7"/>
      <c r="M438" s="7"/>
      <c r="N438" s="7"/>
    </row>
    <row r="439" spans="1:30" ht="16" thickBot="1">
      <c r="A439" s="56"/>
      <c r="B439" s="56"/>
      <c r="C439" s="56"/>
      <c r="D439" s="56"/>
      <c r="E439" s="56"/>
      <c r="F439" s="56"/>
      <c r="G439" s="56"/>
      <c r="H439" s="56"/>
      <c r="I439" s="56"/>
      <c r="J439" s="7"/>
      <c r="K439" s="7"/>
      <c r="L439" s="7"/>
      <c r="M439" s="7"/>
      <c r="N439" s="7"/>
    </row>
    <row r="440" spans="1:30" ht="16" thickBot="1">
      <c r="A440" s="56"/>
      <c r="B440" s="56"/>
      <c r="C440" s="56"/>
      <c r="D440" s="296" t="s">
        <v>834</v>
      </c>
      <c r="E440" s="297"/>
      <c r="F440" s="297"/>
      <c r="G440" s="297"/>
      <c r="H440" s="297"/>
      <c r="I440" s="297"/>
      <c r="J440" s="297"/>
      <c r="K440" s="297"/>
      <c r="L440" s="297"/>
      <c r="M440" s="298"/>
      <c r="N440" s="45" t="s">
        <v>432</v>
      </c>
      <c r="O440" s="45"/>
    </row>
    <row r="441" spans="1:30" ht="16" thickBot="1">
      <c r="A441" s="56"/>
      <c r="B441" s="56"/>
      <c r="C441" s="56"/>
      <c r="D441" s="210"/>
      <c r="E441" s="211" t="str">
        <f>+E414</f>
        <v>Nord Stream AG (PE Germany)</v>
      </c>
      <c r="F441" s="211" t="str">
        <f t="shared" ref="F441:L441" si="25">+F414</f>
        <v>Nord Stream AG (Stateless Permanent Establishment Germany)</v>
      </c>
      <c r="G441" s="211">
        <f t="shared" si="25"/>
        <v>0</v>
      </c>
      <c r="H441" s="211">
        <f t="shared" si="25"/>
        <v>0</v>
      </c>
      <c r="I441" s="211">
        <f t="shared" si="25"/>
        <v>0</v>
      </c>
      <c r="J441" s="211">
        <f t="shared" si="25"/>
        <v>0</v>
      </c>
      <c r="K441" s="211">
        <f t="shared" si="25"/>
        <v>0</v>
      </c>
      <c r="L441" s="211">
        <f t="shared" si="25"/>
        <v>0</v>
      </c>
      <c r="M441" s="212" t="s">
        <v>843</v>
      </c>
      <c r="N441" s="45" t="s">
        <v>245</v>
      </c>
      <c r="O441" s="45"/>
    </row>
    <row r="442" spans="1:30" ht="58.5" customHeight="1">
      <c r="A442" s="56"/>
      <c r="B442" s="56"/>
      <c r="C442" s="56"/>
      <c r="D442" s="207" t="s">
        <v>838</v>
      </c>
      <c r="E442" s="194">
        <v>300000</v>
      </c>
      <c r="F442" s="194">
        <v>300000</v>
      </c>
      <c r="G442" s="194">
        <v>0</v>
      </c>
      <c r="H442" s="194">
        <v>0</v>
      </c>
      <c r="I442" s="194">
        <v>0</v>
      </c>
      <c r="J442" s="194">
        <v>0</v>
      </c>
      <c r="K442" s="194">
        <v>0</v>
      </c>
      <c r="L442" s="194">
        <v>0</v>
      </c>
      <c r="M442" s="213">
        <f>SUM(E442:L442)</f>
        <v>600000</v>
      </c>
      <c r="N442" s="45" t="s">
        <v>422</v>
      </c>
      <c r="O442" s="45" t="s">
        <v>433</v>
      </c>
      <c r="P442" s="325" t="s">
        <v>434</v>
      </c>
      <c r="Q442" s="326"/>
      <c r="R442" s="326"/>
      <c r="S442" s="326"/>
      <c r="T442" s="326"/>
      <c r="U442" s="326"/>
      <c r="V442" s="326"/>
      <c r="W442" s="326"/>
      <c r="X442" s="326"/>
      <c r="Y442" s="326"/>
      <c r="Z442" s="326"/>
      <c r="AA442" s="326"/>
      <c r="AB442" s="326"/>
      <c r="AC442" s="326"/>
      <c r="AD442" s="327"/>
    </row>
    <row r="443" spans="1:30" ht="69.5" customHeight="1">
      <c r="A443" s="56"/>
      <c r="B443" s="56"/>
      <c r="C443" s="56"/>
      <c r="D443" s="141" t="s">
        <v>839</v>
      </c>
      <c r="E443" s="42">
        <v>4000000</v>
      </c>
      <c r="F443" s="42">
        <v>4000000</v>
      </c>
      <c r="G443" s="42">
        <v>0</v>
      </c>
      <c r="H443" s="42">
        <v>0</v>
      </c>
      <c r="I443" s="42">
        <v>0</v>
      </c>
      <c r="J443" s="42">
        <v>0</v>
      </c>
      <c r="K443" s="42">
        <v>0</v>
      </c>
      <c r="L443" s="42">
        <v>0</v>
      </c>
      <c r="M443" s="204">
        <f>SUM(E443:L443)</f>
        <v>8000000</v>
      </c>
      <c r="N443" s="45" t="s">
        <v>426</v>
      </c>
      <c r="O443" s="45" t="s">
        <v>435</v>
      </c>
      <c r="P443" s="325" t="s">
        <v>436</v>
      </c>
      <c r="Q443" s="326"/>
      <c r="R443" s="326"/>
      <c r="S443" s="326"/>
      <c r="T443" s="326"/>
      <c r="U443" s="326"/>
      <c r="V443" s="326"/>
      <c r="W443" s="326"/>
      <c r="X443" s="326"/>
      <c r="Y443" s="326"/>
      <c r="Z443" s="326"/>
      <c r="AA443" s="326"/>
      <c r="AB443" s="326"/>
      <c r="AC443" s="326"/>
      <c r="AD443" s="327"/>
    </row>
    <row r="444" spans="1:30">
      <c r="A444" s="56"/>
      <c r="B444" s="56"/>
      <c r="C444" s="56"/>
      <c r="D444" s="141" t="s">
        <v>439</v>
      </c>
      <c r="E444" s="42" t="s">
        <v>840</v>
      </c>
      <c r="F444" s="42" t="s">
        <v>840</v>
      </c>
      <c r="G444" s="42" t="s">
        <v>840</v>
      </c>
      <c r="H444" s="42" t="s">
        <v>840</v>
      </c>
      <c r="I444" s="42" t="s">
        <v>840</v>
      </c>
      <c r="J444" s="42" t="s">
        <v>840</v>
      </c>
      <c r="K444" s="42" t="s">
        <v>840</v>
      </c>
      <c r="L444" s="42" t="s">
        <v>840</v>
      </c>
      <c r="M444" s="204"/>
      <c r="N444" s="45" t="s">
        <v>437</v>
      </c>
      <c r="O444" s="45" t="s">
        <v>438</v>
      </c>
    </row>
    <row r="445" spans="1:30">
      <c r="A445" s="56"/>
      <c r="B445" s="56"/>
      <c r="C445" s="56"/>
      <c r="D445" s="141" t="s">
        <v>841</v>
      </c>
      <c r="E445" s="42">
        <v>0</v>
      </c>
      <c r="F445" s="42">
        <v>0</v>
      </c>
      <c r="G445" s="42">
        <v>0</v>
      </c>
      <c r="H445" s="42">
        <v>0</v>
      </c>
      <c r="I445" s="42">
        <v>0</v>
      </c>
      <c r="J445" s="42">
        <v>0</v>
      </c>
      <c r="K445" s="42">
        <v>0</v>
      </c>
      <c r="L445" s="42">
        <v>0</v>
      </c>
      <c r="M445" s="204">
        <f>SUM(E445:L445)</f>
        <v>0</v>
      </c>
      <c r="N445" s="45" t="s">
        <v>422</v>
      </c>
      <c r="O445" s="45" t="s">
        <v>440</v>
      </c>
    </row>
    <row r="446" spans="1:30" ht="16" thickBot="1">
      <c r="A446" s="56"/>
      <c r="B446" s="56"/>
      <c r="C446" s="56"/>
      <c r="D446" s="201" t="s">
        <v>837</v>
      </c>
      <c r="E446" s="106">
        <v>0</v>
      </c>
      <c r="F446" s="106">
        <v>0</v>
      </c>
      <c r="G446" s="106">
        <v>0</v>
      </c>
      <c r="H446" s="106">
        <v>0</v>
      </c>
      <c r="I446" s="106">
        <v>0</v>
      </c>
      <c r="J446" s="106">
        <v>0</v>
      </c>
      <c r="K446" s="106">
        <v>0</v>
      </c>
      <c r="L446" s="106">
        <v>0</v>
      </c>
      <c r="M446" s="206">
        <f>SUM(E446:L446)</f>
        <v>0</v>
      </c>
      <c r="N446" s="45" t="s">
        <v>426</v>
      </c>
      <c r="O446" s="45" t="s">
        <v>441</v>
      </c>
    </row>
    <row r="447" spans="1:30">
      <c r="A447" s="56"/>
      <c r="B447" s="56"/>
      <c r="C447" s="56"/>
      <c r="D447" s="56"/>
      <c r="E447" s="56"/>
      <c r="F447" s="56"/>
      <c r="G447" s="56"/>
      <c r="H447" s="56"/>
      <c r="I447" s="56"/>
      <c r="J447" s="7"/>
      <c r="K447" s="7"/>
      <c r="L447" s="7"/>
      <c r="M447" s="7"/>
      <c r="N447" s="7"/>
    </row>
    <row r="448" spans="1:30" ht="16" thickBot="1">
      <c r="A448" s="56"/>
      <c r="B448" s="56"/>
      <c r="C448" s="56"/>
      <c r="D448" s="56"/>
      <c r="E448" s="56"/>
      <c r="F448" s="56"/>
      <c r="G448" s="56"/>
      <c r="H448" s="56"/>
      <c r="I448" s="56"/>
      <c r="J448" s="7"/>
      <c r="K448" s="7"/>
      <c r="L448" s="7"/>
      <c r="M448" s="7"/>
      <c r="N448" s="7"/>
    </row>
    <row r="449" spans="1:15" ht="16" thickBot="1">
      <c r="A449" s="56"/>
      <c r="B449" s="56"/>
      <c r="C449" s="56"/>
      <c r="D449" s="296" t="s">
        <v>842</v>
      </c>
      <c r="E449" s="297"/>
      <c r="F449" s="297"/>
      <c r="G449" s="297"/>
      <c r="H449" s="297"/>
      <c r="I449" s="297"/>
      <c r="J449" s="297"/>
      <c r="K449" s="297"/>
      <c r="L449" s="297"/>
      <c r="M449" s="298"/>
      <c r="N449" s="45" t="s">
        <v>442</v>
      </c>
      <c r="O449" s="45"/>
    </row>
    <row r="450" spans="1:15" ht="16" thickBot="1">
      <c r="A450" s="56"/>
      <c r="B450" s="56"/>
      <c r="C450" s="56"/>
      <c r="D450" s="214"/>
      <c r="E450" s="211" t="str">
        <f>+E441</f>
        <v>Nord Stream AG (PE Germany)</v>
      </c>
      <c r="F450" s="211" t="str">
        <f t="shared" ref="F450:L452" si="26">+F441</f>
        <v>Nord Stream AG (Stateless Permanent Establishment Germany)</v>
      </c>
      <c r="G450" s="211">
        <f t="shared" si="26"/>
        <v>0</v>
      </c>
      <c r="H450" s="211">
        <f t="shared" si="26"/>
        <v>0</v>
      </c>
      <c r="I450" s="211">
        <f t="shared" si="26"/>
        <v>0</v>
      </c>
      <c r="J450" s="211">
        <f t="shared" si="26"/>
        <v>0</v>
      </c>
      <c r="K450" s="211">
        <f t="shared" si="26"/>
        <v>0</v>
      </c>
      <c r="L450" s="211">
        <f t="shared" si="26"/>
        <v>0</v>
      </c>
      <c r="M450" s="212" t="s">
        <v>843</v>
      </c>
      <c r="N450" s="45"/>
      <c r="O450" s="45"/>
    </row>
    <row r="451" spans="1:15">
      <c r="A451" s="56"/>
      <c r="B451" s="56"/>
      <c r="C451" s="56"/>
      <c r="D451" s="168" t="s">
        <v>838</v>
      </c>
      <c r="E451" s="219">
        <f>+E442</f>
        <v>300000</v>
      </c>
      <c r="F451" s="219">
        <f t="shared" si="26"/>
        <v>300000</v>
      </c>
      <c r="G451" s="219">
        <f t="shared" si="26"/>
        <v>0</v>
      </c>
      <c r="H451" s="219">
        <f t="shared" si="26"/>
        <v>0</v>
      </c>
      <c r="I451" s="219">
        <f t="shared" si="26"/>
        <v>0</v>
      </c>
      <c r="J451" s="219">
        <f t="shared" si="26"/>
        <v>0</v>
      </c>
      <c r="K451" s="219">
        <f t="shared" si="26"/>
        <v>0</v>
      </c>
      <c r="L451" s="219">
        <f t="shared" si="26"/>
        <v>0</v>
      </c>
      <c r="M451" s="220">
        <f>+M442</f>
        <v>600000</v>
      </c>
      <c r="N451" s="45" t="s">
        <v>422</v>
      </c>
      <c r="O451" s="45" t="s">
        <v>443</v>
      </c>
    </row>
    <row r="452" spans="1:15" ht="15" customHeight="1">
      <c r="A452" s="56"/>
      <c r="B452" s="56"/>
      <c r="C452" s="56"/>
      <c r="D452" s="161" t="s">
        <v>839</v>
      </c>
      <c r="E452" s="215">
        <f>+E443</f>
        <v>4000000</v>
      </c>
      <c r="F452" s="215">
        <f t="shared" si="26"/>
        <v>4000000</v>
      </c>
      <c r="G452" s="215">
        <f t="shared" si="26"/>
        <v>0</v>
      </c>
      <c r="H452" s="215">
        <f t="shared" si="26"/>
        <v>0</v>
      </c>
      <c r="I452" s="215">
        <f t="shared" si="26"/>
        <v>0</v>
      </c>
      <c r="J452" s="215">
        <f t="shared" si="26"/>
        <v>0</v>
      </c>
      <c r="K452" s="215">
        <f t="shared" si="26"/>
        <v>0</v>
      </c>
      <c r="L452" s="215">
        <f t="shared" si="26"/>
        <v>0</v>
      </c>
      <c r="M452" s="221">
        <f>+M443</f>
        <v>8000000</v>
      </c>
      <c r="N452" s="45" t="s">
        <v>426</v>
      </c>
      <c r="O452" s="45" t="s">
        <v>444</v>
      </c>
    </row>
    <row r="453" spans="1:15">
      <c r="A453" s="56"/>
      <c r="B453" s="56"/>
      <c r="C453" s="56"/>
      <c r="D453" s="161" t="s">
        <v>446</v>
      </c>
      <c r="E453" s="42" t="s">
        <v>844</v>
      </c>
      <c r="F453" s="42" t="s">
        <v>844</v>
      </c>
      <c r="G453" s="42" t="s">
        <v>844</v>
      </c>
      <c r="H453" s="42" t="s">
        <v>844</v>
      </c>
      <c r="I453" s="42" t="s">
        <v>844</v>
      </c>
      <c r="J453" s="42" t="s">
        <v>844</v>
      </c>
      <c r="K453" s="42" t="s">
        <v>844</v>
      </c>
      <c r="L453" s="42" t="s">
        <v>844</v>
      </c>
      <c r="M453" s="222"/>
      <c r="N453" s="45" t="s">
        <v>437</v>
      </c>
      <c r="O453" s="45" t="s">
        <v>445</v>
      </c>
    </row>
    <row r="454" spans="1:15">
      <c r="A454" s="56"/>
      <c r="B454" s="56"/>
      <c r="C454" s="56"/>
      <c r="D454" s="161" t="s">
        <v>448</v>
      </c>
      <c r="E454" s="42">
        <v>0</v>
      </c>
      <c r="F454" s="42">
        <v>0</v>
      </c>
      <c r="G454" s="42">
        <v>0</v>
      </c>
      <c r="H454" s="42">
        <v>0</v>
      </c>
      <c r="I454" s="42">
        <v>0</v>
      </c>
      <c r="J454" s="42">
        <v>0</v>
      </c>
      <c r="K454" s="42">
        <v>0</v>
      </c>
      <c r="L454" s="42">
        <v>0</v>
      </c>
      <c r="M454" s="204">
        <f>SUM(E454:L454)</f>
        <v>0</v>
      </c>
      <c r="N454" s="45" t="s">
        <v>422</v>
      </c>
      <c r="O454" s="45" t="s">
        <v>447</v>
      </c>
    </row>
    <row r="455" spans="1:15" ht="16" thickBot="1">
      <c r="A455" s="56"/>
      <c r="B455" s="56"/>
      <c r="C455" s="56"/>
      <c r="D455" s="162" t="s">
        <v>450</v>
      </c>
      <c r="E455" s="106">
        <v>0</v>
      </c>
      <c r="F455" s="106">
        <v>0</v>
      </c>
      <c r="G455" s="106">
        <v>0</v>
      </c>
      <c r="H455" s="106">
        <v>0</v>
      </c>
      <c r="I455" s="106">
        <v>0</v>
      </c>
      <c r="J455" s="106">
        <v>0</v>
      </c>
      <c r="K455" s="106">
        <v>0</v>
      </c>
      <c r="L455" s="106">
        <v>0</v>
      </c>
      <c r="M455" s="206">
        <f>SUM(E455:L455)</f>
        <v>0</v>
      </c>
      <c r="N455" s="45" t="s">
        <v>426</v>
      </c>
      <c r="O455" s="45" t="s">
        <v>449</v>
      </c>
    </row>
    <row r="456" spans="1:15" ht="15" customHeight="1" thickBot="1"/>
    <row r="457" spans="1:15" ht="15" hidden="1" customHeight="1" thickBot="1"/>
    <row r="458" spans="1:15" ht="16" thickBot="1">
      <c r="D458" s="296" t="s">
        <v>451</v>
      </c>
      <c r="E458" s="298" t="s">
        <v>102</v>
      </c>
      <c r="F458" s="10"/>
      <c r="G458" s="10"/>
      <c r="H458" s="10"/>
      <c r="I458" s="10"/>
      <c r="J458" s="10"/>
      <c r="K458" s="10"/>
      <c r="L458" s="10"/>
      <c r="M458" s="10"/>
      <c r="N458" s="10"/>
    </row>
    <row r="459" spans="1:15" ht="16" thickBot="1">
      <c r="D459" s="296" t="s">
        <v>845</v>
      </c>
      <c r="E459" s="298"/>
      <c r="F459" s="5"/>
      <c r="G459" s="5"/>
      <c r="H459" s="5"/>
      <c r="I459" s="5"/>
      <c r="J459" s="5"/>
      <c r="K459" s="5"/>
      <c r="L459" s="5"/>
      <c r="M459" s="5"/>
      <c r="N459" s="5"/>
    </row>
    <row r="460" spans="1:15">
      <c r="D460" s="202" t="s">
        <v>846</v>
      </c>
      <c r="E460" s="195"/>
      <c r="F460" s="45" t="s">
        <v>452</v>
      </c>
      <c r="G460" s="5"/>
      <c r="H460" s="5"/>
      <c r="I460" s="5"/>
      <c r="J460" s="5"/>
      <c r="K460" s="5"/>
      <c r="L460" s="5"/>
      <c r="M460" s="5"/>
      <c r="N460" s="5"/>
    </row>
    <row r="461" spans="1:15" ht="16" thickBot="1">
      <c r="D461" s="208" t="s">
        <v>847</v>
      </c>
      <c r="E461" s="112"/>
      <c r="F461" s="45" t="s">
        <v>374</v>
      </c>
      <c r="G461" s="5"/>
      <c r="H461" s="5"/>
      <c r="I461" s="56"/>
      <c r="J461" s="56"/>
      <c r="K461" s="56"/>
      <c r="L461" s="56"/>
      <c r="M461" s="5"/>
      <c r="N461" s="5"/>
    </row>
    <row r="462" spans="1:15">
      <c r="D462" s="216" t="s">
        <v>848</v>
      </c>
      <c r="E462" s="217" t="s">
        <v>849</v>
      </c>
      <c r="F462" s="218" t="s">
        <v>850</v>
      </c>
      <c r="G462" s="5"/>
      <c r="H462" s="5"/>
      <c r="I462" s="56"/>
      <c r="J462" s="56"/>
      <c r="K462" s="56"/>
      <c r="L462" s="56"/>
      <c r="M462" s="5"/>
      <c r="N462" s="5"/>
    </row>
    <row r="463" spans="1:15">
      <c r="D463" s="24" t="s">
        <v>851</v>
      </c>
      <c r="E463" s="42"/>
      <c r="F463" s="41"/>
      <c r="G463" s="45" t="s">
        <v>10</v>
      </c>
      <c r="H463" s="5"/>
      <c r="I463" s="56"/>
      <c r="J463" s="56"/>
      <c r="K463" s="56"/>
      <c r="L463" s="56"/>
      <c r="M463" s="5"/>
      <c r="N463" s="5"/>
    </row>
    <row r="464" spans="1:15">
      <c r="D464" s="24" t="s">
        <v>852</v>
      </c>
      <c r="E464" s="42"/>
      <c r="F464" s="41"/>
      <c r="G464" s="45" t="s">
        <v>14</v>
      </c>
      <c r="H464" s="5"/>
      <c r="I464" s="56"/>
      <c r="J464" s="56"/>
      <c r="K464" s="56"/>
      <c r="L464" s="56"/>
      <c r="M464" s="5"/>
      <c r="N464" s="5"/>
    </row>
    <row r="465" spans="4:14">
      <c r="D465" s="24" t="s">
        <v>853</v>
      </c>
      <c r="E465" s="42"/>
      <c r="F465" s="41"/>
      <c r="G465" s="45" t="s">
        <v>16</v>
      </c>
      <c r="H465" s="5"/>
      <c r="I465" s="5"/>
      <c r="J465" s="5"/>
      <c r="K465" s="5"/>
      <c r="L465" s="5"/>
      <c r="M465" s="5"/>
      <c r="N465" s="5"/>
    </row>
    <row r="466" spans="4:14">
      <c r="D466" s="24" t="s">
        <v>854</v>
      </c>
      <c r="E466" s="42"/>
      <c r="F466" s="41"/>
      <c r="G466" s="45" t="s">
        <v>453</v>
      </c>
      <c r="H466" s="5"/>
      <c r="I466" s="5"/>
      <c r="J466" s="5"/>
      <c r="K466" s="5"/>
      <c r="L466" s="5"/>
      <c r="M466" s="5"/>
      <c r="N466" s="5"/>
    </row>
    <row r="467" spans="4:14">
      <c r="D467" s="24" t="s">
        <v>855</v>
      </c>
      <c r="E467" s="42"/>
      <c r="F467" s="41"/>
      <c r="G467" s="45" t="s">
        <v>408</v>
      </c>
      <c r="H467" s="5"/>
      <c r="I467" s="5"/>
      <c r="J467" s="5"/>
      <c r="K467" s="5"/>
      <c r="L467" s="5"/>
      <c r="M467" s="5"/>
      <c r="N467" s="5"/>
    </row>
    <row r="468" spans="4:14">
      <c r="D468" s="24" t="s">
        <v>856</v>
      </c>
      <c r="E468" s="42"/>
      <c r="F468" s="41"/>
      <c r="G468" s="45" t="s">
        <v>418</v>
      </c>
      <c r="H468" s="5"/>
      <c r="I468" s="5"/>
      <c r="J468" s="5"/>
      <c r="K468" s="5"/>
      <c r="L468" s="5"/>
      <c r="M468" s="5"/>
      <c r="N468" s="5"/>
    </row>
    <row r="469" spans="4:14" ht="16" thickBot="1">
      <c r="D469" s="25" t="s">
        <v>857</v>
      </c>
      <c r="E469" s="381"/>
      <c r="F469" s="382"/>
      <c r="G469" s="45" t="s">
        <v>414</v>
      </c>
      <c r="H469" s="5"/>
      <c r="I469" s="5"/>
      <c r="J469" s="5"/>
      <c r="K469" s="5"/>
      <c r="L469" s="5"/>
      <c r="M469" s="5"/>
      <c r="N469" s="5"/>
    </row>
    <row r="470" spans="4:14" ht="16" thickBot="1">
      <c r="E470" s="5"/>
      <c r="F470" s="5"/>
      <c r="G470" s="5"/>
      <c r="H470" s="5"/>
      <c r="I470" s="5"/>
      <c r="J470" s="5"/>
      <c r="K470" s="5"/>
      <c r="L470" s="5"/>
      <c r="M470" s="5"/>
      <c r="N470" s="5"/>
    </row>
    <row r="471" spans="4:14" ht="16" thickBot="1">
      <c r="D471" s="296" t="s">
        <v>858</v>
      </c>
      <c r="E471" s="298" t="s">
        <v>455</v>
      </c>
      <c r="F471" s="45" t="s">
        <v>454</v>
      </c>
      <c r="G471" s="5"/>
      <c r="H471" s="5"/>
      <c r="I471" s="5"/>
      <c r="J471" s="5"/>
      <c r="K471" s="5"/>
      <c r="L471" s="5"/>
      <c r="M471" s="5"/>
      <c r="N471" s="5"/>
    </row>
    <row r="472" spans="4:14">
      <c r="D472" s="202" t="s">
        <v>859</v>
      </c>
      <c r="E472" s="195"/>
      <c r="F472" s="45" t="s">
        <v>101</v>
      </c>
      <c r="G472" s="5"/>
      <c r="H472" s="5"/>
      <c r="I472" s="5"/>
      <c r="J472" s="5"/>
      <c r="K472" s="5"/>
      <c r="L472" s="5"/>
      <c r="M472" s="5"/>
      <c r="N472" s="5"/>
    </row>
    <row r="473" spans="4:14">
      <c r="D473" s="24" t="s">
        <v>860</v>
      </c>
      <c r="E473" s="41"/>
      <c r="F473" s="45" t="s">
        <v>456</v>
      </c>
      <c r="G473" s="56"/>
      <c r="H473" s="5"/>
      <c r="I473" s="5"/>
      <c r="J473" s="5"/>
      <c r="K473" s="5"/>
      <c r="L473" s="5"/>
      <c r="M473" s="5"/>
      <c r="N473" s="5"/>
    </row>
    <row r="474" spans="4:14">
      <c r="D474" s="24" t="s">
        <v>861</v>
      </c>
      <c r="E474" s="41"/>
      <c r="F474" s="45" t="s">
        <v>457</v>
      </c>
      <c r="G474" s="5"/>
      <c r="H474" s="5"/>
      <c r="I474" s="5"/>
      <c r="J474" s="5"/>
      <c r="K474" s="5"/>
      <c r="L474" s="5"/>
      <c r="M474" s="5"/>
      <c r="N474" s="5"/>
    </row>
    <row r="475" spans="4:14" ht="16" thickBot="1">
      <c r="D475" s="25" t="s">
        <v>862</v>
      </c>
      <c r="E475" s="99"/>
      <c r="F475" s="45" t="s">
        <v>414</v>
      </c>
      <c r="G475" s="56"/>
      <c r="H475" s="56"/>
      <c r="I475" s="56"/>
      <c r="J475" s="5"/>
      <c r="K475" s="5"/>
      <c r="L475" s="5"/>
      <c r="M475" s="5"/>
      <c r="N475" s="5"/>
    </row>
    <row r="476" spans="4:14" ht="16" thickBot="1">
      <c r="D476" s="8"/>
      <c r="E476" s="5"/>
      <c r="F476" s="11"/>
      <c r="G476" s="9"/>
      <c r="H476" s="8"/>
      <c r="I476" s="8"/>
      <c r="J476" s="9"/>
      <c r="K476" s="9"/>
      <c r="L476" s="9"/>
      <c r="N476" s="8"/>
    </row>
    <row r="477" spans="4:14" ht="16" thickBot="1">
      <c r="D477" s="311" t="s">
        <v>863</v>
      </c>
      <c r="E477" s="312"/>
    </row>
    <row r="478" spans="4:14">
      <c r="D478" s="223" t="s">
        <v>867</v>
      </c>
      <c r="E478" s="195"/>
    </row>
    <row r="479" spans="4:14">
      <c r="D479" s="93" t="s">
        <v>868</v>
      </c>
      <c r="E479" s="41"/>
    </row>
    <row r="480" spans="4:14">
      <c r="D480" s="93" t="s">
        <v>869</v>
      </c>
      <c r="E480" s="41"/>
    </row>
    <row r="481" spans="4:5">
      <c r="D481" s="93" t="s">
        <v>870</v>
      </c>
      <c r="E481" s="41"/>
    </row>
    <row r="482" spans="4:5">
      <c r="D482" s="93" t="s">
        <v>871</v>
      </c>
      <c r="E482" s="41"/>
    </row>
    <row r="483" spans="4:5">
      <c r="D483" s="93" t="s">
        <v>872</v>
      </c>
      <c r="E483" s="41" t="s">
        <v>650</v>
      </c>
    </row>
    <row r="484" spans="4:5">
      <c r="D484" s="93" t="s">
        <v>864</v>
      </c>
      <c r="E484" s="41"/>
    </row>
    <row r="485" spans="4:5">
      <c r="D485" s="93" t="s">
        <v>865</v>
      </c>
      <c r="E485" s="41"/>
    </row>
    <row r="486" spans="4:5">
      <c r="D486" s="93" t="s">
        <v>866</v>
      </c>
      <c r="E486" s="41"/>
    </row>
    <row r="487" spans="4:5">
      <c r="D487" s="93" t="s">
        <v>873</v>
      </c>
      <c r="E487" s="41" t="s">
        <v>650</v>
      </c>
    </row>
    <row r="488" spans="4:5" ht="16" thickBot="1">
      <c r="D488" s="158" t="s">
        <v>874</v>
      </c>
      <c r="E488" s="99" t="s">
        <v>650</v>
      </c>
    </row>
    <row r="489" spans="4:5" ht="16" thickBot="1"/>
    <row r="490" spans="4:5" ht="16" thickBot="1">
      <c r="D490" s="311" t="s">
        <v>875</v>
      </c>
      <c r="E490" s="312"/>
    </row>
    <row r="491" spans="4:5" ht="16" thickBot="1">
      <c r="D491" s="311" t="s">
        <v>876</v>
      </c>
      <c r="E491" s="312"/>
    </row>
    <row r="492" spans="4:5">
      <c r="D492" s="388" t="s">
        <v>877</v>
      </c>
      <c r="E492" s="389"/>
    </row>
    <row r="493" spans="4:5">
      <c r="D493" s="93" t="s">
        <v>880</v>
      </c>
      <c r="E493" s="41"/>
    </row>
    <row r="494" spans="4:5">
      <c r="D494" s="93" t="s">
        <v>881</v>
      </c>
      <c r="E494" s="41"/>
    </row>
    <row r="495" spans="4:5" ht="16" thickBot="1">
      <c r="D495" s="158" t="s">
        <v>882</v>
      </c>
      <c r="E495" s="41"/>
    </row>
    <row r="496" spans="4:5">
      <c r="D496" s="388" t="s">
        <v>878</v>
      </c>
      <c r="E496" s="389"/>
    </row>
    <row r="497" spans="4:11">
      <c r="D497" s="93" t="s">
        <v>883</v>
      </c>
      <c r="E497" s="41"/>
    </row>
    <row r="498" spans="4:11">
      <c r="D498" s="93" t="s">
        <v>884</v>
      </c>
      <c r="E498" s="41"/>
    </row>
    <row r="499" spans="4:11">
      <c r="D499" s="93" t="s">
        <v>885</v>
      </c>
      <c r="E499" s="41"/>
    </row>
    <row r="500" spans="4:11" ht="16" thickBot="1">
      <c r="D500" s="158" t="s">
        <v>886</v>
      </c>
      <c r="E500" s="41"/>
    </row>
    <row r="501" spans="4:11">
      <c r="D501" s="388" t="s">
        <v>879</v>
      </c>
      <c r="E501" s="389"/>
    </row>
    <row r="502" spans="4:11">
      <c r="D502" s="93" t="s">
        <v>887</v>
      </c>
      <c r="E502" s="41"/>
    </row>
    <row r="503" spans="4:11">
      <c r="D503" s="93" t="s">
        <v>888</v>
      </c>
      <c r="E503" s="41"/>
    </row>
    <row r="504" spans="4:11" ht="16" thickBot="1">
      <c r="D504" s="158" t="s">
        <v>889</v>
      </c>
      <c r="E504" s="99"/>
    </row>
    <row r="505" spans="4:11" ht="16" thickBot="1"/>
    <row r="506" spans="4:11" ht="16" thickBot="1">
      <c r="D506" s="390" t="s">
        <v>890</v>
      </c>
      <c r="E506" s="391"/>
    </row>
    <row r="507" spans="4:11">
      <c r="D507" s="223" t="s">
        <v>891</v>
      </c>
      <c r="E507" s="195"/>
    </row>
    <row r="508" spans="4:11">
      <c r="D508" s="93" t="s">
        <v>892</v>
      </c>
      <c r="E508" s="41"/>
    </row>
    <row r="509" spans="4:11" ht="16" thickBot="1">
      <c r="D509" s="158" t="s">
        <v>893</v>
      </c>
      <c r="E509" s="99"/>
    </row>
    <row r="510" spans="4:11" ht="16" thickBot="1"/>
    <row r="511" spans="4:11" ht="16" thickBot="1">
      <c r="D511" s="392" t="s">
        <v>894</v>
      </c>
      <c r="E511" s="393"/>
    </row>
    <row r="512" spans="4:11">
      <c r="D512" s="223" t="s">
        <v>895</v>
      </c>
      <c r="E512" s="225" t="s">
        <v>896</v>
      </c>
      <c r="F512" s="225" t="s">
        <v>897</v>
      </c>
      <c r="G512" s="225" t="s">
        <v>898</v>
      </c>
      <c r="H512" s="225" t="s">
        <v>899</v>
      </c>
      <c r="I512" s="225" t="s">
        <v>900</v>
      </c>
      <c r="J512" s="225" t="s">
        <v>901</v>
      </c>
      <c r="K512" s="224" t="s">
        <v>902</v>
      </c>
    </row>
    <row r="513" spans="4:11" ht="16" thickBot="1">
      <c r="D513" s="107"/>
      <c r="E513" s="106"/>
      <c r="F513" s="106"/>
      <c r="G513" s="106"/>
      <c r="H513" s="106"/>
      <c r="I513" s="106"/>
      <c r="J513" s="106"/>
      <c r="K513" s="99"/>
    </row>
  </sheetData>
  <mergeCells count="166">
    <mergeCell ref="D491:E491"/>
    <mergeCell ref="D492:E492"/>
    <mergeCell ref="D496:E496"/>
    <mergeCell ref="D501:E501"/>
    <mergeCell ref="D506:E506"/>
    <mergeCell ref="D511:E511"/>
    <mergeCell ref="D458:E458"/>
    <mergeCell ref="D459:E459"/>
    <mergeCell ref="E469:F469"/>
    <mergeCell ref="D471:E471"/>
    <mergeCell ref="D477:E477"/>
    <mergeCell ref="D490:E490"/>
    <mergeCell ref="D433:E433"/>
    <mergeCell ref="D436:E436"/>
    <mergeCell ref="D440:M440"/>
    <mergeCell ref="P442:AD442"/>
    <mergeCell ref="P443:AD443"/>
    <mergeCell ref="D449:M449"/>
    <mergeCell ref="D413:L413"/>
    <mergeCell ref="D418:E418"/>
    <mergeCell ref="D419:E419"/>
    <mergeCell ref="D428:E428"/>
    <mergeCell ref="D429:E429"/>
    <mergeCell ref="D430:E430"/>
    <mergeCell ref="D388:M388"/>
    <mergeCell ref="D393:M393"/>
    <mergeCell ref="D396:M396"/>
    <mergeCell ref="D399:E399"/>
    <mergeCell ref="D405:E405"/>
    <mergeCell ref="D406:E406"/>
    <mergeCell ref="O367:AC369"/>
    <mergeCell ref="O370:AC372"/>
    <mergeCell ref="O373:AC375"/>
    <mergeCell ref="D380:M380"/>
    <mergeCell ref="D381:M381"/>
    <mergeCell ref="D383:M383"/>
    <mergeCell ref="P343:AD343"/>
    <mergeCell ref="D348:L348"/>
    <mergeCell ref="D350:L350"/>
    <mergeCell ref="O351:AC351"/>
    <mergeCell ref="D354:L354"/>
    <mergeCell ref="O364:AC366"/>
    <mergeCell ref="P333:AD333"/>
    <mergeCell ref="P334:AD334"/>
    <mergeCell ref="P335:AD335"/>
    <mergeCell ref="P336:AD336"/>
    <mergeCell ref="P337:AD337"/>
    <mergeCell ref="P338:AD338"/>
    <mergeCell ref="P327:AD327"/>
    <mergeCell ref="P328:AD328"/>
    <mergeCell ref="P329:AD329"/>
    <mergeCell ref="P330:AD330"/>
    <mergeCell ref="P331:AD331"/>
    <mergeCell ref="P332:AD332"/>
    <mergeCell ref="P307:AD307"/>
    <mergeCell ref="P308:AD308"/>
    <mergeCell ref="P310:AD310"/>
    <mergeCell ref="D313:M313"/>
    <mergeCell ref="D323:M323"/>
    <mergeCell ref="D326:L326"/>
    <mergeCell ref="P299:AD299"/>
    <mergeCell ref="P300:AD300"/>
    <mergeCell ref="P301:AD301"/>
    <mergeCell ref="P302:AD302"/>
    <mergeCell ref="P303:AD303"/>
    <mergeCell ref="P304:AD304"/>
    <mergeCell ref="D293:M293"/>
    <mergeCell ref="P294:AD294"/>
    <mergeCell ref="P295:AD295"/>
    <mergeCell ref="P296:AD296"/>
    <mergeCell ref="P297:AD297"/>
    <mergeCell ref="P298:AD298"/>
    <mergeCell ref="D263:M263"/>
    <mergeCell ref="P265:AD265"/>
    <mergeCell ref="D273:M273"/>
    <mergeCell ref="D281:M281"/>
    <mergeCell ref="D289:M289"/>
    <mergeCell ref="D290:M290"/>
    <mergeCell ref="P254:AD254"/>
    <mergeCell ref="P255:AD255"/>
    <mergeCell ref="P257:AD257"/>
    <mergeCell ref="P258:AD258"/>
    <mergeCell ref="P259:AD259"/>
    <mergeCell ref="P260:AD260"/>
    <mergeCell ref="P245:AD245"/>
    <mergeCell ref="P247:AD247"/>
    <mergeCell ref="P248:AD248"/>
    <mergeCell ref="P251:AD251"/>
    <mergeCell ref="P252:AD252"/>
    <mergeCell ref="P253:AD253"/>
    <mergeCell ref="P239:AD239"/>
    <mergeCell ref="P240:AD240"/>
    <mergeCell ref="P241:AD241"/>
    <mergeCell ref="P242:AD242"/>
    <mergeCell ref="P243:AD243"/>
    <mergeCell ref="P244:AD244"/>
    <mergeCell ref="D231:M231"/>
    <mergeCell ref="D234:M234"/>
    <mergeCell ref="P235:AD235"/>
    <mergeCell ref="P236:AD236"/>
    <mergeCell ref="P237:AD237"/>
    <mergeCell ref="P238:AD238"/>
    <mergeCell ref="D222:E222"/>
    <mergeCell ref="G222:P222"/>
    <mergeCell ref="D223:E223"/>
    <mergeCell ref="D226:E226"/>
    <mergeCell ref="F226:F228"/>
    <mergeCell ref="D230:M230"/>
    <mergeCell ref="D209:D210"/>
    <mergeCell ref="E209:E210"/>
    <mergeCell ref="F209:I209"/>
    <mergeCell ref="K209:K215"/>
    <mergeCell ref="D217:F217"/>
    <mergeCell ref="G218:G219"/>
    <mergeCell ref="H197:Q197"/>
    <mergeCell ref="D199:E199"/>
    <mergeCell ref="D200:E200"/>
    <mergeCell ref="D206:E206"/>
    <mergeCell ref="G207:P207"/>
    <mergeCell ref="D208:J208"/>
    <mergeCell ref="G186:Q186"/>
    <mergeCell ref="G187:Q187"/>
    <mergeCell ref="G188:Q188"/>
    <mergeCell ref="G189:Q189"/>
    <mergeCell ref="G190:G195"/>
    <mergeCell ref="H191:Q191"/>
    <mergeCell ref="H192:Q192"/>
    <mergeCell ref="H193:Q193"/>
    <mergeCell ref="H194:Q194"/>
    <mergeCell ref="D172:G172"/>
    <mergeCell ref="D176:H176"/>
    <mergeCell ref="J177:N179"/>
    <mergeCell ref="D182:E182"/>
    <mergeCell ref="D183:E183"/>
    <mergeCell ref="D184:E184"/>
    <mergeCell ref="D154:E154"/>
    <mergeCell ref="D155:E155"/>
    <mergeCell ref="D160:F160"/>
    <mergeCell ref="D166:E166"/>
    <mergeCell ref="D168:E168"/>
    <mergeCell ref="D169:E169"/>
    <mergeCell ref="D119:E119"/>
    <mergeCell ref="E120:E122"/>
    <mergeCell ref="D123:E123"/>
    <mergeCell ref="D126:E126"/>
    <mergeCell ref="D147:F147"/>
    <mergeCell ref="H147:M151"/>
    <mergeCell ref="G148:G151"/>
    <mergeCell ref="G106:G109"/>
    <mergeCell ref="D109:E109"/>
    <mergeCell ref="D112:E112"/>
    <mergeCell ref="D113:E113"/>
    <mergeCell ref="D114:F114"/>
    <mergeCell ref="E115:E118"/>
    <mergeCell ref="D71:E71"/>
    <mergeCell ref="D72:E72"/>
    <mergeCell ref="I76:R76"/>
    <mergeCell ref="D98:E98"/>
    <mergeCell ref="H98:K102"/>
    <mergeCell ref="D105:F105"/>
    <mergeCell ref="D2:E2"/>
    <mergeCell ref="D3:E3"/>
    <mergeCell ref="D9:E9"/>
    <mergeCell ref="D30:E30"/>
    <mergeCell ref="D31:E31"/>
    <mergeCell ref="D39:E39"/>
  </mergeCells>
  <dataValidations count="4">
    <dataValidation type="list" allowBlank="1" showInputMessage="1" showErrorMessage="1" sqref="D228:E228" xr:uid="{7D6546E0-E24A-4990-9A3B-4474A1AB1A09}">
      <formula1>$A$228:$A$229</formula1>
    </dataValidation>
    <dataValidation type="list" allowBlank="1" showInputMessage="1" showErrorMessage="1" sqref="E162:F164 E191:F195 E197:F197" xr:uid="{693DF44C-8174-4B1E-B3B9-4E6F68BC5C8F}">
      <formula1>$A$162:$A$163</formula1>
    </dataValidation>
    <dataValidation type="list" allowBlank="1" showInputMessage="1" showErrorMessage="1" sqref="E186:E189 E207 E224 E483 E373:L373 E376:L376 E358:L358 E361:L361 E364:L364 E367:L367 E370:L370 E487:E488 E351:L355" xr:uid="{DA0EC029-0454-4BF4-867A-CD35AC4D340B}">
      <formula1>$A$186:$A$188</formula1>
    </dataValidation>
    <dataValidation type="list" allowBlank="1" showInputMessage="1" showErrorMessage="1" sqref="D178:D179" xr:uid="{9700037D-E0DF-49A5-8751-589ABCE98689}">
      <formula1>$A$178:$A$179</formula1>
    </dataValidation>
  </dataValidation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5A7E9-4E9D-4545-8AF6-886A2812EB2D}">
  <dimension ref="A1:AD513"/>
  <sheetViews>
    <sheetView topLeftCell="C1" zoomScale="50" zoomScaleNormal="50" workbookViewId="0">
      <selection activeCell="D326" sqref="D326:L326"/>
    </sheetView>
  </sheetViews>
  <sheetFormatPr baseColWidth="10" defaultColWidth="8.25" defaultRowHeight="15.5"/>
  <cols>
    <col min="1" max="3" width="14.33203125" style="14" customWidth="1"/>
    <col min="4" max="4" width="119.58203125" style="14" customWidth="1"/>
    <col min="5" max="5" width="46.4140625" style="14" customWidth="1"/>
    <col min="6" max="6" width="45.4140625" style="14" customWidth="1"/>
    <col min="7" max="8" width="45.9140625" style="14" customWidth="1"/>
    <col min="9" max="9" width="61.4140625" style="14" customWidth="1"/>
    <col min="10" max="10" width="62.4140625" style="14" customWidth="1"/>
    <col min="11" max="12" width="45.9140625" style="14" customWidth="1"/>
    <col min="13" max="13" width="25" style="14" customWidth="1"/>
    <col min="14" max="14" width="22.5" style="14" customWidth="1"/>
    <col min="15" max="15" width="22.58203125" style="56" customWidth="1"/>
    <col min="16" max="16384" width="8.25" style="56"/>
  </cols>
  <sheetData>
    <row r="1" spans="1:14" ht="16" thickBot="1"/>
    <row r="2" spans="1:14" ht="25.5" thickBot="1">
      <c r="D2" s="263" t="s">
        <v>458</v>
      </c>
      <c r="E2" s="265"/>
      <c r="F2" s="7"/>
      <c r="G2" s="7"/>
      <c r="H2" s="7"/>
      <c r="I2" s="7"/>
      <c r="J2" s="7"/>
      <c r="K2" s="13"/>
      <c r="L2" s="7"/>
      <c r="M2" s="7"/>
    </row>
    <row r="3" spans="1:14" ht="31" customHeight="1">
      <c r="A3" s="7"/>
      <c r="B3" s="7"/>
      <c r="C3" s="7"/>
      <c r="D3" s="308" t="s">
        <v>459</v>
      </c>
      <c r="E3" s="308"/>
      <c r="F3" s="7"/>
      <c r="G3" s="7"/>
      <c r="H3" s="7"/>
      <c r="I3" s="7"/>
      <c r="J3" s="7"/>
      <c r="K3" s="7"/>
      <c r="L3" s="7"/>
      <c r="M3" s="7"/>
      <c r="N3" s="7"/>
    </row>
    <row r="4" spans="1:14">
      <c r="A4" s="7"/>
      <c r="B4" s="7"/>
      <c r="C4" s="7"/>
      <c r="D4" s="7"/>
      <c r="E4" s="7"/>
      <c r="F4" s="7"/>
      <c r="G4" s="7"/>
      <c r="H4" s="7"/>
      <c r="I4" s="7"/>
      <c r="J4" s="7"/>
      <c r="K4" s="7"/>
      <c r="L4" s="7"/>
      <c r="M4" s="7"/>
      <c r="N4" s="7"/>
    </row>
    <row r="5" spans="1:14">
      <c r="A5" s="7"/>
      <c r="B5" s="7"/>
      <c r="C5" s="7"/>
      <c r="D5" s="7" t="s">
        <v>461</v>
      </c>
      <c r="E5" s="57" t="s">
        <v>460</v>
      </c>
      <c r="F5" s="7"/>
      <c r="G5" s="7"/>
      <c r="H5" s="7"/>
      <c r="I5" s="7"/>
      <c r="J5" s="7"/>
      <c r="K5" s="7"/>
      <c r="L5" s="7"/>
      <c r="M5" s="7"/>
      <c r="N5" s="7"/>
    </row>
    <row r="6" spans="1:14">
      <c r="A6" s="7"/>
      <c r="B6" s="7"/>
      <c r="C6" s="7"/>
      <c r="D6" s="7" t="s">
        <v>482</v>
      </c>
      <c r="E6" s="58" t="s">
        <v>483</v>
      </c>
      <c r="F6" s="7"/>
      <c r="G6" s="7"/>
      <c r="H6" s="7"/>
      <c r="I6" s="7"/>
      <c r="J6" s="7"/>
      <c r="K6" s="7"/>
      <c r="L6" s="7"/>
      <c r="M6" s="7"/>
      <c r="N6" s="7"/>
    </row>
    <row r="7" spans="1:14">
      <c r="A7" s="7"/>
      <c r="B7" s="7"/>
      <c r="C7" s="7"/>
      <c r="D7" s="7" t="s">
        <v>536</v>
      </c>
      <c r="E7" s="59" t="s">
        <v>537</v>
      </c>
      <c r="F7" s="7"/>
      <c r="G7" s="7"/>
      <c r="H7" s="7"/>
      <c r="I7" s="7"/>
      <c r="J7" s="7"/>
      <c r="K7" s="7"/>
      <c r="L7" s="7"/>
      <c r="M7" s="7"/>
      <c r="N7" s="7"/>
    </row>
    <row r="8" spans="1:14" ht="16" thickBot="1">
      <c r="A8" s="7"/>
      <c r="B8" s="7"/>
      <c r="C8" s="7"/>
      <c r="D8" s="7"/>
      <c r="E8" s="7"/>
      <c r="F8" s="7"/>
      <c r="G8" s="7"/>
      <c r="H8" s="7"/>
      <c r="I8" s="7"/>
      <c r="J8" s="7"/>
      <c r="K8" s="7"/>
      <c r="L8" s="7"/>
      <c r="M8" s="7"/>
      <c r="N8" s="7"/>
    </row>
    <row r="9" spans="1:14" ht="25">
      <c r="D9" s="306" t="s">
        <v>0</v>
      </c>
      <c r="E9" s="307"/>
      <c r="F9" s="7"/>
      <c r="G9" s="7"/>
      <c r="H9" s="7"/>
      <c r="I9" s="7"/>
      <c r="J9" s="7"/>
      <c r="K9" s="7"/>
      <c r="L9" s="7"/>
      <c r="M9" s="7"/>
      <c r="N9" s="7"/>
    </row>
    <row r="10" spans="1:14" ht="17.25" customHeight="1">
      <c r="D10" s="20" t="s">
        <v>463</v>
      </c>
      <c r="E10" s="21" t="s">
        <v>1098</v>
      </c>
      <c r="F10" s="7"/>
      <c r="I10" s="7"/>
      <c r="J10" s="7"/>
      <c r="M10" s="7"/>
      <c r="N10" s="7"/>
    </row>
    <row r="11" spans="1:14" ht="17.25" customHeight="1">
      <c r="D11" s="20" t="s">
        <v>651</v>
      </c>
      <c r="E11" s="21" t="s">
        <v>3</v>
      </c>
      <c r="F11" s="7"/>
      <c r="G11" s="7"/>
      <c r="H11" s="7"/>
      <c r="I11" s="7"/>
      <c r="J11" s="7"/>
      <c r="K11" s="7"/>
      <c r="L11" s="7"/>
      <c r="M11" s="7"/>
      <c r="N11" s="7"/>
    </row>
    <row r="12" spans="1:14" ht="17.25" customHeight="1">
      <c r="D12" s="20" t="s">
        <v>652</v>
      </c>
      <c r="E12" s="21" t="s">
        <v>3</v>
      </c>
      <c r="F12" s="7"/>
      <c r="G12" s="7"/>
      <c r="H12" s="7"/>
      <c r="I12" s="7"/>
      <c r="J12" s="7"/>
      <c r="K12" s="7"/>
      <c r="L12" s="7"/>
      <c r="M12" s="7"/>
      <c r="N12" s="7"/>
    </row>
    <row r="13" spans="1:14" ht="17.25" customHeight="1">
      <c r="D13" s="20" t="s">
        <v>464</v>
      </c>
      <c r="E13" s="21" t="s">
        <v>2</v>
      </c>
      <c r="F13" s="7"/>
      <c r="G13" s="7"/>
      <c r="H13" s="7"/>
      <c r="I13" s="7"/>
      <c r="J13" s="7"/>
      <c r="K13" s="7"/>
      <c r="L13" s="7"/>
      <c r="M13" s="7"/>
      <c r="N13" s="7"/>
    </row>
    <row r="14" spans="1:14" ht="17.25" customHeight="1">
      <c r="D14" s="20" t="s">
        <v>465</v>
      </c>
      <c r="E14" s="60">
        <f>+E36</f>
        <v>0.49998934197344019</v>
      </c>
      <c r="F14" s="7"/>
      <c r="G14" s="61"/>
      <c r="H14" s="7"/>
      <c r="I14" s="7"/>
      <c r="J14" s="7"/>
      <c r="K14" s="7"/>
      <c r="L14" s="7"/>
      <c r="M14" s="7"/>
      <c r="N14" s="7"/>
    </row>
    <row r="15" spans="1:14" ht="17.25" customHeight="1">
      <c r="D15" s="20" t="s">
        <v>466</v>
      </c>
      <c r="E15" s="62">
        <f>+E35</f>
        <v>23456</v>
      </c>
      <c r="F15" s="7"/>
      <c r="G15" s="7"/>
      <c r="H15" s="7"/>
      <c r="I15" s="7"/>
      <c r="J15" s="7"/>
      <c r="K15" s="7"/>
      <c r="L15" s="7"/>
      <c r="M15" s="7"/>
      <c r="N15" s="7"/>
    </row>
    <row r="16" spans="1:14" ht="17.25" customHeight="1">
      <c r="D16" s="20" t="s">
        <v>467</v>
      </c>
      <c r="E16" s="62">
        <f>+E33</f>
        <v>46913</v>
      </c>
      <c r="F16" s="7"/>
      <c r="G16" s="7"/>
      <c r="H16" s="7"/>
      <c r="I16" s="7"/>
      <c r="J16" s="7"/>
      <c r="K16" s="7"/>
      <c r="L16" s="7"/>
      <c r="M16" s="7"/>
      <c r="N16" s="7"/>
    </row>
    <row r="17" spans="2:14" ht="17.25" customHeight="1">
      <c r="D17" s="20" t="s">
        <v>468</v>
      </c>
      <c r="E17" s="62">
        <f>+E437</f>
        <v>341400</v>
      </c>
      <c r="F17" s="7"/>
      <c r="G17" s="61"/>
      <c r="H17" s="63"/>
      <c r="I17" s="7"/>
      <c r="J17" s="7"/>
      <c r="K17" s="7"/>
      <c r="L17" s="7"/>
      <c r="M17" s="7"/>
      <c r="N17" s="7"/>
    </row>
    <row r="18" spans="2:14" ht="17.25" customHeight="1">
      <c r="D18" s="20" t="s">
        <v>469</v>
      </c>
      <c r="E18" s="62">
        <f>+E475</f>
        <v>0</v>
      </c>
      <c r="F18" s="7"/>
      <c r="G18" s="63"/>
      <c r="H18" s="7"/>
      <c r="I18" s="7"/>
      <c r="J18" s="7"/>
      <c r="K18" s="7"/>
      <c r="L18" s="7"/>
      <c r="M18" s="7"/>
      <c r="N18" s="7"/>
    </row>
    <row r="19" spans="2:14" ht="17.25" customHeight="1">
      <c r="D19" s="20" t="s">
        <v>470</v>
      </c>
      <c r="E19" s="64">
        <f>+E425</f>
        <v>0</v>
      </c>
      <c r="F19" s="7"/>
      <c r="G19" s="7"/>
      <c r="H19" s="7"/>
      <c r="I19" s="7"/>
      <c r="J19" s="7"/>
      <c r="K19" s="7"/>
      <c r="L19" s="7"/>
      <c r="M19" s="7"/>
      <c r="N19" s="7"/>
    </row>
    <row r="20" spans="2:14" ht="17.25" customHeight="1">
      <c r="D20" s="20" t="s">
        <v>471</v>
      </c>
      <c r="E20" s="65"/>
      <c r="F20" s="7"/>
      <c r="G20" s="7"/>
      <c r="H20" s="7"/>
      <c r="I20" s="7"/>
      <c r="J20" s="7"/>
      <c r="K20" s="7"/>
      <c r="L20" s="7"/>
      <c r="M20" s="7"/>
      <c r="N20" s="7"/>
    </row>
    <row r="21" spans="2:14" ht="17.25" customHeight="1">
      <c r="D21" s="20" t="s">
        <v>472</v>
      </c>
      <c r="E21" s="66">
        <f>+E73</f>
        <v>23456</v>
      </c>
      <c r="F21" s="7"/>
      <c r="G21" s="7"/>
      <c r="H21" s="7"/>
      <c r="I21" s="7"/>
      <c r="J21" s="7"/>
      <c r="K21" s="7"/>
      <c r="L21" s="7"/>
      <c r="M21" s="7"/>
      <c r="N21" s="7"/>
    </row>
    <row r="22" spans="2:14" ht="17.25" customHeight="1">
      <c r="D22" s="20" t="s">
        <v>462</v>
      </c>
      <c r="E22" s="51">
        <f>+E78</f>
        <v>0</v>
      </c>
      <c r="F22" s="7"/>
      <c r="G22" s="7"/>
      <c r="H22" s="7"/>
      <c r="I22" s="7"/>
      <c r="J22" s="7"/>
      <c r="K22" s="7"/>
      <c r="L22" s="7"/>
      <c r="M22" s="7"/>
      <c r="N22" s="7"/>
    </row>
    <row r="23" spans="2:14" ht="17.25" customHeight="1">
      <c r="D23" s="20" t="s">
        <v>473</v>
      </c>
      <c r="E23" s="51">
        <f>+E81</f>
        <v>0</v>
      </c>
      <c r="F23" s="7"/>
      <c r="G23" s="7"/>
      <c r="H23" s="7"/>
      <c r="I23" s="7"/>
      <c r="J23" s="7"/>
      <c r="K23" s="7"/>
      <c r="L23" s="7"/>
      <c r="M23" s="7"/>
      <c r="N23" s="7"/>
    </row>
    <row r="24" spans="2:14" ht="17.25" customHeight="1">
      <c r="D24" s="20" t="s">
        <v>474</v>
      </c>
      <c r="E24" s="66">
        <f>+F123</f>
        <v>65443</v>
      </c>
      <c r="F24" s="7"/>
      <c r="G24" s="7"/>
      <c r="H24" s="7"/>
      <c r="I24" s="7"/>
      <c r="J24" s="7"/>
      <c r="K24" s="7"/>
      <c r="L24" s="7"/>
      <c r="M24" s="7"/>
      <c r="N24" s="7"/>
    </row>
    <row r="25" spans="2:14" ht="17.25" customHeight="1">
      <c r="D25" s="20" t="s">
        <v>475</v>
      </c>
      <c r="E25" s="51">
        <f>+E55</f>
        <v>0</v>
      </c>
      <c r="F25" s="7"/>
      <c r="G25" s="7"/>
      <c r="H25" s="7"/>
      <c r="I25" s="7"/>
      <c r="J25" s="7"/>
      <c r="K25" s="7"/>
      <c r="L25" s="7"/>
      <c r="M25" s="7"/>
      <c r="N25" s="7"/>
    </row>
    <row r="26" spans="2:14" ht="17.25" customHeight="1">
      <c r="B26" s="56"/>
      <c r="C26" s="56"/>
      <c r="D26" s="20" t="s">
        <v>476</v>
      </c>
      <c r="E26" s="257">
        <f>E93</f>
        <v>0</v>
      </c>
      <c r="F26" s="7"/>
      <c r="G26" s="7"/>
      <c r="H26" s="7"/>
      <c r="I26" s="7"/>
      <c r="J26" s="7"/>
      <c r="K26" s="7"/>
      <c r="L26" s="7"/>
      <c r="M26" s="7"/>
      <c r="N26" s="7"/>
    </row>
    <row r="27" spans="2:14" ht="17.25" customHeight="1" thickBot="1">
      <c r="D27" s="22" t="s">
        <v>477</v>
      </c>
      <c r="E27" s="67"/>
      <c r="F27" s="7"/>
      <c r="G27" s="7"/>
      <c r="H27" s="7"/>
      <c r="I27" s="7"/>
      <c r="J27" s="7"/>
      <c r="K27" s="7"/>
      <c r="L27" s="7"/>
      <c r="M27" s="7"/>
      <c r="N27" s="7"/>
    </row>
    <row r="28" spans="2:14">
      <c r="D28" s="7"/>
      <c r="E28" s="7"/>
      <c r="F28" s="7"/>
      <c r="G28" s="7"/>
      <c r="H28" s="7"/>
      <c r="I28" s="7"/>
      <c r="J28" s="7"/>
      <c r="K28" s="7"/>
      <c r="L28" s="7"/>
      <c r="M28" s="7"/>
      <c r="N28" s="7"/>
    </row>
    <row r="29" spans="2:14" ht="16" thickBot="1">
      <c r="D29" s="10"/>
      <c r="E29" s="7"/>
      <c r="F29" s="7"/>
      <c r="G29" s="7"/>
      <c r="H29" s="7"/>
      <c r="I29" s="7"/>
      <c r="J29" s="7"/>
      <c r="K29" s="7"/>
      <c r="L29" s="7"/>
      <c r="M29" s="7"/>
      <c r="N29" s="7"/>
    </row>
    <row r="30" spans="2:14" ht="25.5" thickBot="1">
      <c r="D30" s="306" t="s">
        <v>4</v>
      </c>
      <c r="E30" s="307" t="s">
        <v>1</v>
      </c>
      <c r="F30" s="7"/>
      <c r="G30" s="7"/>
      <c r="H30" s="7"/>
      <c r="I30" s="7"/>
      <c r="J30" s="7"/>
      <c r="K30" s="68"/>
      <c r="L30" s="7"/>
      <c r="M30" s="7"/>
      <c r="N30" s="7"/>
    </row>
    <row r="31" spans="2:14" ht="20">
      <c r="D31" s="309" t="s">
        <v>6</v>
      </c>
      <c r="E31" s="310" t="s">
        <v>1</v>
      </c>
      <c r="F31" s="69" t="s">
        <v>5</v>
      </c>
      <c r="G31" s="69"/>
      <c r="H31" s="2"/>
      <c r="I31" s="7"/>
      <c r="J31" s="7"/>
      <c r="K31" s="17"/>
    </row>
    <row r="32" spans="2:14">
      <c r="D32" s="23" t="s">
        <v>9</v>
      </c>
      <c r="E32" s="70">
        <f>+M233</f>
        <v>23457</v>
      </c>
      <c r="F32" s="69" t="s">
        <v>7</v>
      </c>
      <c r="G32" s="69" t="s">
        <v>8</v>
      </c>
      <c r="I32" s="7"/>
      <c r="J32" s="7"/>
      <c r="K32" s="68"/>
    </row>
    <row r="33" spans="4:11">
      <c r="D33" s="24" t="s">
        <v>478</v>
      </c>
      <c r="E33" s="70">
        <f>+E68</f>
        <v>46913</v>
      </c>
      <c r="F33" s="69" t="s">
        <v>10</v>
      </c>
      <c r="G33" s="69" t="s">
        <v>11</v>
      </c>
      <c r="H33" s="71"/>
      <c r="I33" s="7"/>
      <c r="J33" s="7"/>
      <c r="K33" s="32"/>
    </row>
    <row r="34" spans="4:11">
      <c r="D34" s="24" t="s">
        <v>479</v>
      </c>
      <c r="E34" s="70">
        <f>+E42</f>
        <v>23456</v>
      </c>
      <c r="F34" s="69" t="s">
        <v>12</v>
      </c>
      <c r="G34" s="69" t="s">
        <v>13</v>
      </c>
      <c r="I34" s="7"/>
      <c r="J34" s="7"/>
      <c r="K34" s="68"/>
    </row>
    <row r="35" spans="4:11">
      <c r="D35" s="24" t="s">
        <v>480</v>
      </c>
      <c r="E35" s="70">
        <f>+M311</f>
        <v>23456</v>
      </c>
      <c r="F35" s="69" t="s">
        <v>14</v>
      </c>
      <c r="G35" s="69" t="s">
        <v>15</v>
      </c>
      <c r="H35" s="71"/>
      <c r="I35" s="7"/>
      <c r="J35" s="7"/>
      <c r="K35" s="7"/>
    </row>
    <row r="36" spans="4:11" ht="16" thickBot="1">
      <c r="D36" s="25" t="s">
        <v>481</v>
      </c>
      <c r="E36" s="72">
        <f>+E35/E33</f>
        <v>0.49998934197344019</v>
      </c>
      <c r="F36" s="69" t="s">
        <v>16</v>
      </c>
      <c r="G36" s="69" t="s">
        <v>17</v>
      </c>
      <c r="I36" s="7"/>
      <c r="J36" s="7"/>
      <c r="K36" s="68"/>
    </row>
    <row r="37" spans="4:11">
      <c r="D37" s="56"/>
      <c r="E37" s="56"/>
      <c r="F37" s="7"/>
      <c r="G37" s="56"/>
      <c r="I37" s="7"/>
      <c r="J37" s="7"/>
      <c r="K37" s="7"/>
    </row>
    <row r="38" spans="4:11" ht="16" thickBot="1">
      <c r="D38" s="56"/>
      <c r="E38" s="56"/>
      <c r="G38" s="56"/>
      <c r="I38" s="7"/>
      <c r="J38" s="7"/>
      <c r="K38" s="7"/>
    </row>
    <row r="39" spans="4:11" ht="16" thickBot="1">
      <c r="D39" s="311" t="s">
        <v>18</v>
      </c>
      <c r="E39" s="312"/>
      <c r="F39" s="33"/>
      <c r="G39" s="56"/>
      <c r="I39" s="7"/>
      <c r="J39" s="7"/>
      <c r="K39" s="7"/>
    </row>
    <row r="40" spans="4:11">
      <c r="D40" s="26" t="s">
        <v>20</v>
      </c>
      <c r="E40" s="29">
        <f>+M233</f>
        <v>23457</v>
      </c>
      <c r="F40" s="69" t="s">
        <v>19</v>
      </c>
      <c r="G40" s="69"/>
      <c r="K40" s="73"/>
    </row>
    <row r="41" spans="4:11">
      <c r="D41" s="27" t="s">
        <v>22</v>
      </c>
      <c r="E41" s="74" t="s">
        <v>140</v>
      </c>
      <c r="F41" s="69" t="s">
        <v>21</v>
      </c>
      <c r="G41" s="69"/>
      <c r="H41" s="56"/>
      <c r="I41" s="56"/>
      <c r="J41" s="56"/>
      <c r="K41" s="32"/>
    </row>
    <row r="42" spans="4:11">
      <c r="D42" s="27" t="s">
        <v>484</v>
      </c>
      <c r="E42" s="30">
        <f>+M235</f>
        <v>23456</v>
      </c>
      <c r="F42" s="69" t="s">
        <v>23</v>
      </c>
      <c r="G42" s="69" t="s">
        <v>512</v>
      </c>
    </row>
    <row r="43" spans="4:11">
      <c r="D43" s="27" t="s">
        <v>485</v>
      </c>
      <c r="E43" s="30">
        <f t="shared" ref="E43:E67" si="0">+M236</f>
        <v>0</v>
      </c>
      <c r="F43" s="69" t="s">
        <v>24</v>
      </c>
      <c r="G43" s="69" t="s">
        <v>510</v>
      </c>
      <c r="H43" s="71"/>
    </row>
    <row r="44" spans="4:11">
      <c r="D44" s="27" t="s">
        <v>486</v>
      </c>
      <c r="E44" s="30">
        <f t="shared" si="0"/>
        <v>0</v>
      </c>
      <c r="F44" s="69" t="s">
        <v>25</v>
      </c>
      <c r="G44" s="69" t="s">
        <v>511</v>
      </c>
      <c r="H44" s="71"/>
    </row>
    <row r="45" spans="4:11">
      <c r="D45" s="27" t="s">
        <v>487</v>
      </c>
      <c r="E45" s="30">
        <f t="shared" si="0"/>
        <v>0</v>
      </c>
      <c r="F45" s="69" t="s">
        <v>26</v>
      </c>
      <c r="G45" s="69" t="s">
        <v>513</v>
      </c>
    </row>
    <row r="46" spans="4:11">
      <c r="D46" s="27" t="s">
        <v>488</v>
      </c>
      <c r="E46" s="30">
        <f t="shared" si="0"/>
        <v>0</v>
      </c>
      <c r="F46" s="69" t="s">
        <v>27</v>
      </c>
      <c r="G46" s="69" t="s">
        <v>514</v>
      </c>
    </row>
    <row r="47" spans="4:11">
      <c r="D47" s="27" t="s">
        <v>489</v>
      </c>
      <c r="E47" s="30">
        <f t="shared" si="0"/>
        <v>0</v>
      </c>
      <c r="F47" s="69" t="s">
        <v>28</v>
      </c>
      <c r="G47" s="69" t="s">
        <v>515</v>
      </c>
    </row>
    <row r="48" spans="4:11">
      <c r="D48" s="27" t="s">
        <v>490</v>
      </c>
      <c r="E48" s="30">
        <f t="shared" si="0"/>
        <v>0</v>
      </c>
      <c r="F48" s="69" t="s">
        <v>29</v>
      </c>
      <c r="G48" s="69" t="s">
        <v>516</v>
      </c>
      <c r="H48" s="71"/>
    </row>
    <row r="49" spans="4:8">
      <c r="D49" s="27" t="s">
        <v>491</v>
      </c>
      <c r="E49" s="30">
        <f t="shared" si="0"/>
        <v>0</v>
      </c>
      <c r="F49" s="69" t="s">
        <v>30</v>
      </c>
      <c r="G49" s="69" t="s">
        <v>517</v>
      </c>
      <c r="H49" s="71"/>
    </row>
    <row r="50" spans="4:8">
      <c r="D50" s="27" t="s">
        <v>492</v>
      </c>
      <c r="E50" s="30">
        <f t="shared" si="0"/>
        <v>0</v>
      </c>
      <c r="F50" s="69" t="s">
        <v>31</v>
      </c>
      <c r="G50" s="69" t="s">
        <v>518</v>
      </c>
    </row>
    <row r="51" spans="4:8">
      <c r="D51" s="27" t="s">
        <v>493</v>
      </c>
      <c r="E51" s="30">
        <f t="shared" si="0"/>
        <v>0</v>
      </c>
      <c r="F51" s="69" t="s">
        <v>32</v>
      </c>
      <c r="G51" s="69" t="s">
        <v>519</v>
      </c>
    </row>
    <row r="52" spans="4:8">
      <c r="D52" s="27" t="s">
        <v>494</v>
      </c>
      <c r="E52" s="30">
        <f t="shared" si="0"/>
        <v>0</v>
      </c>
      <c r="F52" s="69" t="s">
        <v>33</v>
      </c>
      <c r="G52" s="69" t="s">
        <v>520</v>
      </c>
    </row>
    <row r="53" spans="4:8">
      <c r="D53" s="27" t="s">
        <v>496</v>
      </c>
      <c r="E53" s="30">
        <f t="shared" si="0"/>
        <v>0</v>
      </c>
      <c r="F53" s="69" t="s">
        <v>34</v>
      </c>
      <c r="G53" s="69" t="s">
        <v>521</v>
      </c>
      <c r="H53" s="71"/>
    </row>
    <row r="54" spans="4:8">
      <c r="D54" s="27" t="s">
        <v>495</v>
      </c>
      <c r="E54" s="30">
        <f t="shared" si="0"/>
        <v>0</v>
      </c>
      <c r="F54" s="69" t="s">
        <v>35</v>
      </c>
      <c r="G54" s="69" t="s">
        <v>522</v>
      </c>
      <c r="H54" s="71"/>
    </row>
    <row r="55" spans="4:8">
      <c r="D55" s="27" t="s">
        <v>497</v>
      </c>
      <c r="E55" s="30">
        <f t="shared" si="0"/>
        <v>0</v>
      </c>
      <c r="F55" s="69" t="s">
        <v>36</v>
      </c>
      <c r="G55" s="69" t="s">
        <v>523</v>
      </c>
    </row>
    <row r="56" spans="4:8">
      <c r="D56" s="27" t="s">
        <v>498</v>
      </c>
      <c r="E56" s="30">
        <f t="shared" si="0"/>
        <v>0</v>
      </c>
      <c r="F56" s="69" t="s">
        <v>37</v>
      </c>
      <c r="G56" s="69" t="s">
        <v>524</v>
      </c>
    </row>
    <row r="57" spans="4:8">
      <c r="D57" s="27" t="s">
        <v>499</v>
      </c>
      <c r="E57" s="30">
        <f t="shared" si="0"/>
        <v>0</v>
      </c>
      <c r="F57" s="69" t="s">
        <v>38</v>
      </c>
      <c r="G57" s="69" t="s">
        <v>525</v>
      </c>
    </row>
    <row r="58" spans="4:8">
      <c r="D58" s="27" t="s">
        <v>500</v>
      </c>
      <c r="E58" s="30">
        <f t="shared" si="0"/>
        <v>0</v>
      </c>
      <c r="F58" s="69" t="s">
        <v>39</v>
      </c>
      <c r="G58" s="69" t="s">
        <v>526</v>
      </c>
    </row>
    <row r="59" spans="4:8">
      <c r="D59" s="27" t="s">
        <v>501</v>
      </c>
      <c r="E59" s="30">
        <f t="shared" si="0"/>
        <v>0</v>
      </c>
      <c r="F59" s="69" t="s">
        <v>40</v>
      </c>
      <c r="G59" s="69" t="s">
        <v>527</v>
      </c>
    </row>
    <row r="60" spans="4:8">
      <c r="D60" s="27" t="s">
        <v>502</v>
      </c>
      <c r="E60" s="30">
        <f t="shared" si="0"/>
        <v>0</v>
      </c>
      <c r="F60" s="69" t="s">
        <v>41</v>
      </c>
      <c r="G60" s="69" t="s">
        <v>528</v>
      </c>
    </row>
    <row r="61" spans="4:8" ht="31">
      <c r="D61" s="27" t="s">
        <v>503</v>
      </c>
      <c r="E61" s="30">
        <f t="shared" si="0"/>
        <v>0</v>
      </c>
      <c r="F61" s="69" t="s">
        <v>42</v>
      </c>
      <c r="G61" s="69" t="s">
        <v>529</v>
      </c>
    </row>
    <row r="62" spans="4:8">
      <c r="D62" s="27" t="s">
        <v>504</v>
      </c>
      <c r="E62" s="30">
        <f t="shared" si="0"/>
        <v>0</v>
      </c>
      <c r="F62" s="69" t="s">
        <v>43</v>
      </c>
      <c r="G62" s="69" t="s">
        <v>530</v>
      </c>
    </row>
    <row r="63" spans="4:8">
      <c r="D63" s="27" t="s">
        <v>505</v>
      </c>
      <c r="E63" s="30">
        <f t="shared" si="0"/>
        <v>0</v>
      </c>
      <c r="F63" s="69" t="s">
        <v>44</v>
      </c>
      <c r="G63" s="69" t="s">
        <v>531</v>
      </c>
    </row>
    <row r="64" spans="4:8">
      <c r="D64" s="27" t="s">
        <v>506</v>
      </c>
      <c r="E64" s="30">
        <f t="shared" si="0"/>
        <v>0</v>
      </c>
      <c r="F64" s="69" t="s">
        <v>45</v>
      </c>
      <c r="G64" s="69" t="s">
        <v>532</v>
      </c>
    </row>
    <row r="65" spans="4:18">
      <c r="D65" s="27" t="s">
        <v>507</v>
      </c>
      <c r="E65" s="30">
        <f t="shared" si="0"/>
        <v>0</v>
      </c>
      <c r="F65" s="69" t="s">
        <v>46</v>
      </c>
      <c r="G65" s="69" t="s">
        <v>533</v>
      </c>
    </row>
    <row r="66" spans="4:18">
      <c r="D66" s="27" t="s">
        <v>508</v>
      </c>
      <c r="E66" s="30">
        <f t="shared" si="0"/>
        <v>0</v>
      </c>
      <c r="F66" s="69" t="s">
        <v>47</v>
      </c>
      <c r="G66" s="69" t="s">
        <v>534</v>
      </c>
    </row>
    <row r="67" spans="4:18">
      <c r="D67" s="27" t="s">
        <v>509</v>
      </c>
      <c r="E67" s="30">
        <f t="shared" si="0"/>
        <v>0</v>
      </c>
      <c r="F67" s="69" t="s">
        <v>48</v>
      </c>
      <c r="G67" s="69" t="s">
        <v>535</v>
      </c>
      <c r="H67" s="71"/>
    </row>
    <row r="68" spans="4:18" ht="16" thickBot="1">
      <c r="D68" s="31" t="s">
        <v>50</v>
      </c>
      <c r="E68" s="75">
        <f>+M261</f>
        <v>46913</v>
      </c>
      <c r="F68" s="69" t="s">
        <v>10</v>
      </c>
      <c r="G68" s="69" t="s">
        <v>49</v>
      </c>
    </row>
    <row r="69" spans="4:18" ht="15.75" customHeight="1">
      <c r="G69" s="56"/>
    </row>
    <row r="70" spans="4:18" ht="15" customHeight="1" thickBot="1">
      <c r="G70" s="56"/>
    </row>
    <row r="71" spans="4:18" ht="14.25" customHeight="1" thickBot="1">
      <c r="D71" s="311" t="s">
        <v>51</v>
      </c>
      <c r="E71" s="312"/>
      <c r="G71" s="56"/>
    </row>
    <row r="72" spans="4:18">
      <c r="D72" s="311" t="s">
        <v>52</v>
      </c>
      <c r="E72" s="312"/>
      <c r="F72" s="69"/>
      <c r="G72" s="69"/>
      <c r="H72" s="69"/>
    </row>
    <row r="73" spans="4:18">
      <c r="D73" s="37" t="s">
        <v>55</v>
      </c>
      <c r="E73" s="38">
        <f>+M292</f>
        <v>23456</v>
      </c>
      <c r="F73" s="69" t="s">
        <v>53</v>
      </c>
      <c r="G73" s="69" t="s">
        <v>54</v>
      </c>
      <c r="H73" s="69"/>
      <c r="I73" s="7"/>
      <c r="K73" s="32"/>
    </row>
    <row r="74" spans="4:18">
      <c r="D74" s="37" t="s">
        <v>22</v>
      </c>
      <c r="E74" s="76" t="s">
        <v>140</v>
      </c>
      <c r="F74" s="69" t="s">
        <v>21</v>
      </c>
      <c r="G74" s="69"/>
      <c r="H74" s="69"/>
      <c r="I74" s="7"/>
      <c r="K74" s="32"/>
    </row>
    <row r="75" spans="4:18">
      <c r="D75" s="20" t="s">
        <v>539</v>
      </c>
      <c r="E75" s="30">
        <f>+M294</f>
        <v>0</v>
      </c>
      <c r="F75" s="69" t="s">
        <v>57</v>
      </c>
      <c r="G75" s="69" t="s">
        <v>56</v>
      </c>
      <c r="H75" s="69" t="s">
        <v>557</v>
      </c>
      <c r="I75" s="7"/>
    </row>
    <row r="76" spans="4:18" ht="69.5" customHeight="1">
      <c r="D76" s="20" t="s">
        <v>540</v>
      </c>
      <c r="E76" s="40">
        <v>0</v>
      </c>
      <c r="F76" s="69"/>
      <c r="G76" s="69" t="s">
        <v>58</v>
      </c>
      <c r="H76" s="69" t="s">
        <v>558</v>
      </c>
      <c r="I76" s="292" t="s">
        <v>59</v>
      </c>
      <c r="J76" s="292"/>
      <c r="K76" s="292"/>
      <c r="L76" s="292"/>
      <c r="M76" s="292"/>
      <c r="N76" s="292"/>
      <c r="O76" s="292"/>
      <c r="P76" s="292"/>
      <c r="Q76" s="292"/>
      <c r="R76" s="292"/>
    </row>
    <row r="77" spans="4:18">
      <c r="D77" s="20" t="s">
        <v>541</v>
      </c>
      <c r="E77" s="30">
        <f>+M295</f>
        <v>0</v>
      </c>
      <c r="F77" s="69" t="s">
        <v>61</v>
      </c>
      <c r="G77" s="69" t="s">
        <v>60</v>
      </c>
      <c r="H77" s="69" t="s">
        <v>559</v>
      </c>
    </row>
    <row r="78" spans="4:18" ht="31">
      <c r="D78" s="20" t="s">
        <v>542</v>
      </c>
      <c r="E78" s="30">
        <f t="shared" ref="E78:E91" si="1">+M296</f>
        <v>0</v>
      </c>
      <c r="F78" s="69" t="s">
        <v>63</v>
      </c>
      <c r="G78" s="69" t="s">
        <v>62</v>
      </c>
      <c r="H78" s="69" t="s">
        <v>64</v>
      </c>
      <c r="I78" s="7"/>
    </row>
    <row r="79" spans="4:18">
      <c r="D79" s="20" t="s">
        <v>572</v>
      </c>
      <c r="E79" s="30">
        <f t="shared" si="1"/>
        <v>0</v>
      </c>
      <c r="F79" s="69" t="s">
        <v>66</v>
      </c>
      <c r="G79" s="69" t="s">
        <v>65</v>
      </c>
      <c r="H79" s="69" t="s">
        <v>560</v>
      </c>
      <c r="I79" s="7"/>
    </row>
    <row r="80" spans="4:18">
      <c r="D80" s="20" t="s">
        <v>543</v>
      </c>
      <c r="E80" s="30">
        <f t="shared" si="1"/>
        <v>0</v>
      </c>
      <c r="F80" s="69" t="s">
        <v>68</v>
      </c>
      <c r="G80" s="69" t="s">
        <v>67</v>
      </c>
      <c r="H80" s="69" t="s">
        <v>561</v>
      </c>
      <c r="I80" s="7"/>
    </row>
    <row r="81" spans="4:13" ht="31">
      <c r="D81" s="20" t="s">
        <v>545</v>
      </c>
      <c r="E81" s="30">
        <f t="shared" si="1"/>
        <v>0</v>
      </c>
      <c r="F81" s="69" t="s">
        <v>70</v>
      </c>
      <c r="G81" s="69" t="s">
        <v>69</v>
      </c>
      <c r="H81" s="69" t="s">
        <v>71</v>
      </c>
      <c r="I81" s="7"/>
    </row>
    <row r="82" spans="4:13" ht="31">
      <c r="D82" s="20" t="s">
        <v>546</v>
      </c>
      <c r="E82" s="30">
        <f t="shared" si="1"/>
        <v>0</v>
      </c>
      <c r="F82" s="69" t="s">
        <v>73</v>
      </c>
      <c r="G82" s="69" t="s">
        <v>72</v>
      </c>
      <c r="H82" s="69" t="s">
        <v>74</v>
      </c>
      <c r="I82" s="7"/>
    </row>
    <row r="83" spans="4:13">
      <c r="D83" s="20" t="s">
        <v>544</v>
      </c>
      <c r="E83" s="30">
        <f t="shared" si="1"/>
        <v>0</v>
      </c>
      <c r="F83" s="69" t="s">
        <v>76</v>
      </c>
      <c r="G83" s="69" t="s">
        <v>75</v>
      </c>
      <c r="H83" s="69" t="s">
        <v>562</v>
      </c>
      <c r="I83" s="7"/>
    </row>
    <row r="84" spans="4:13">
      <c r="D84" s="20" t="s">
        <v>547</v>
      </c>
      <c r="E84" s="30">
        <f t="shared" si="1"/>
        <v>0</v>
      </c>
      <c r="F84" s="69" t="s">
        <v>78</v>
      </c>
      <c r="G84" s="69" t="s">
        <v>77</v>
      </c>
      <c r="H84" s="69" t="s">
        <v>563</v>
      </c>
      <c r="I84" s="7"/>
    </row>
    <row r="85" spans="4:13">
      <c r="D85" s="20" t="s">
        <v>548</v>
      </c>
      <c r="E85" s="30">
        <f t="shared" si="1"/>
        <v>0</v>
      </c>
      <c r="F85" s="69" t="s">
        <v>80</v>
      </c>
      <c r="G85" s="69" t="s">
        <v>79</v>
      </c>
      <c r="H85" s="69" t="s">
        <v>564</v>
      </c>
      <c r="I85" s="7"/>
    </row>
    <row r="86" spans="4:13">
      <c r="D86" s="20" t="s">
        <v>550</v>
      </c>
      <c r="E86" s="30">
        <f t="shared" si="1"/>
        <v>0</v>
      </c>
      <c r="F86" s="69" t="s">
        <v>82</v>
      </c>
      <c r="G86" s="69" t="s">
        <v>81</v>
      </c>
      <c r="H86" s="69" t="s">
        <v>565</v>
      </c>
      <c r="I86" s="7"/>
    </row>
    <row r="87" spans="4:13">
      <c r="D87" s="20" t="s">
        <v>551</v>
      </c>
      <c r="E87" s="30">
        <f t="shared" si="1"/>
        <v>0</v>
      </c>
      <c r="F87" s="69" t="s">
        <v>84</v>
      </c>
      <c r="G87" s="69" t="s">
        <v>83</v>
      </c>
      <c r="H87" s="69" t="s">
        <v>566</v>
      </c>
      <c r="I87" s="7"/>
    </row>
    <row r="88" spans="4:13">
      <c r="D88" s="20" t="s">
        <v>549</v>
      </c>
      <c r="E88" s="30">
        <f t="shared" si="1"/>
        <v>0</v>
      </c>
      <c r="F88" s="69" t="s">
        <v>86</v>
      </c>
      <c r="G88" s="69" t="s">
        <v>85</v>
      </c>
      <c r="H88" s="69" t="s">
        <v>567</v>
      </c>
      <c r="I88" s="7"/>
    </row>
    <row r="89" spans="4:13">
      <c r="D89" s="20" t="s">
        <v>573</v>
      </c>
      <c r="E89" s="30">
        <f t="shared" si="1"/>
        <v>0</v>
      </c>
      <c r="F89" s="69" t="s">
        <v>88</v>
      </c>
      <c r="G89" s="69" t="s">
        <v>87</v>
      </c>
      <c r="H89" s="69" t="s">
        <v>568</v>
      </c>
      <c r="I89" s="7"/>
    </row>
    <row r="90" spans="4:13">
      <c r="D90" s="20" t="s">
        <v>552</v>
      </c>
      <c r="E90" s="30">
        <f t="shared" si="1"/>
        <v>0</v>
      </c>
      <c r="F90" s="69" t="s">
        <v>90</v>
      </c>
      <c r="G90" s="69" t="s">
        <v>89</v>
      </c>
      <c r="H90" s="69" t="s">
        <v>569</v>
      </c>
      <c r="I90" s="7"/>
    </row>
    <row r="91" spans="4:13">
      <c r="D91" s="20" t="s">
        <v>553</v>
      </c>
      <c r="E91" s="30">
        <f t="shared" si="1"/>
        <v>0</v>
      </c>
      <c r="F91" s="69" t="s">
        <v>92</v>
      </c>
      <c r="G91" s="69" t="s">
        <v>91</v>
      </c>
      <c r="H91" s="69" t="s">
        <v>570</v>
      </c>
      <c r="I91" s="7"/>
    </row>
    <row r="92" spans="4:13" ht="31">
      <c r="D92" s="20" t="s">
        <v>554</v>
      </c>
      <c r="E92" s="30">
        <f>+M310</f>
        <v>0</v>
      </c>
      <c r="F92" s="69" t="s">
        <v>91</v>
      </c>
      <c r="G92" s="69" t="s">
        <v>93</v>
      </c>
      <c r="H92" s="69" t="s">
        <v>571</v>
      </c>
      <c r="I92" s="7"/>
    </row>
    <row r="93" spans="4:13">
      <c r="D93" s="20" t="s">
        <v>555</v>
      </c>
      <c r="E93" s="30">
        <f>+E102</f>
        <v>0</v>
      </c>
      <c r="F93" s="69" t="s">
        <v>95</v>
      </c>
      <c r="G93" s="69" t="s">
        <v>94</v>
      </c>
      <c r="H93" s="69" t="s">
        <v>96</v>
      </c>
      <c r="I93" s="7"/>
    </row>
    <row r="94" spans="4:13" ht="31">
      <c r="D94" s="20" t="s">
        <v>556</v>
      </c>
      <c r="E94" s="30">
        <f>+E101</f>
        <v>0</v>
      </c>
      <c r="F94" s="69" t="s">
        <v>98</v>
      </c>
      <c r="G94" s="69" t="s">
        <v>97</v>
      </c>
      <c r="H94" s="69" t="s">
        <v>99</v>
      </c>
      <c r="I94" s="7"/>
    </row>
    <row r="95" spans="4:13" ht="16" thickBot="1">
      <c r="D95" s="39" t="s">
        <v>100</v>
      </c>
      <c r="E95" s="77">
        <f>E73+SUM(E75:E94)</f>
        <v>23456</v>
      </c>
      <c r="F95" s="69"/>
      <c r="G95" s="69" t="s">
        <v>14</v>
      </c>
      <c r="H95" s="69"/>
      <c r="I95" s="7"/>
      <c r="K95" s="78"/>
      <c r="L95" s="68"/>
      <c r="M95" s="32"/>
    </row>
    <row r="96" spans="4:13">
      <c r="D96" s="15"/>
      <c r="E96" s="79"/>
      <c r="F96" s="7"/>
      <c r="G96" s="56"/>
      <c r="H96" s="7"/>
      <c r="I96" s="7"/>
    </row>
    <row r="97" spans="4:11" ht="16" thickBot="1">
      <c r="D97" s="15"/>
      <c r="E97" s="79"/>
      <c r="F97" s="7"/>
      <c r="G97" s="56"/>
      <c r="H97" s="7"/>
      <c r="I97" s="7"/>
    </row>
    <row r="98" spans="4:11">
      <c r="D98" s="311" t="s">
        <v>574</v>
      </c>
      <c r="E98" s="312" t="s">
        <v>102</v>
      </c>
      <c r="F98" s="69" t="s">
        <v>101</v>
      </c>
      <c r="G98" s="69"/>
      <c r="H98" s="355" t="s">
        <v>103</v>
      </c>
      <c r="I98" s="355"/>
      <c r="J98" s="355"/>
      <c r="K98" s="355"/>
    </row>
    <row r="99" spans="4:11" ht="24.75" customHeight="1">
      <c r="D99" s="43" t="s">
        <v>575</v>
      </c>
      <c r="E99" s="41">
        <v>0</v>
      </c>
      <c r="F99" s="69" t="s">
        <v>104</v>
      </c>
      <c r="G99" s="69" t="s">
        <v>105</v>
      </c>
      <c r="H99" s="355"/>
      <c r="I99" s="355"/>
      <c r="J99" s="355"/>
      <c r="K99" s="355"/>
    </row>
    <row r="100" spans="4:11" ht="27" customHeight="1">
      <c r="D100" s="43" t="s">
        <v>576</v>
      </c>
      <c r="E100" s="41">
        <v>0</v>
      </c>
      <c r="F100" s="69" t="s">
        <v>95</v>
      </c>
      <c r="G100" s="69" t="s">
        <v>106</v>
      </c>
      <c r="H100" s="355"/>
      <c r="I100" s="355"/>
      <c r="J100" s="355"/>
      <c r="K100" s="355"/>
    </row>
    <row r="101" spans="4:11" ht="24.75" customHeight="1">
      <c r="D101" s="43" t="s">
        <v>577</v>
      </c>
      <c r="E101" s="41">
        <v>0</v>
      </c>
      <c r="F101" s="69" t="s">
        <v>98</v>
      </c>
      <c r="G101" s="69" t="s">
        <v>107</v>
      </c>
      <c r="H101" s="355"/>
      <c r="I101" s="355"/>
      <c r="J101" s="355"/>
      <c r="K101" s="355"/>
    </row>
    <row r="102" spans="4:11" ht="19.5" customHeight="1" thickBot="1">
      <c r="D102" s="44" t="s">
        <v>578</v>
      </c>
      <c r="E102" s="124">
        <f>+E99+E100+E101</f>
        <v>0</v>
      </c>
      <c r="F102" s="69" t="s">
        <v>108</v>
      </c>
      <c r="G102" s="69" t="s">
        <v>109</v>
      </c>
      <c r="H102" s="355"/>
      <c r="I102" s="355"/>
      <c r="J102" s="355"/>
      <c r="K102" s="355"/>
    </row>
    <row r="103" spans="4:11" ht="12.75" customHeight="1">
      <c r="D103" s="5"/>
      <c r="E103" s="6"/>
      <c r="F103" s="7"/>
      <c r="G103" s="7"/>
      <c r="H103" s="7"/>
      <c r="I103" s="7"/>
    </row>
    <row r="104" spans="4:11" ht="12.75" customHeight="1" thickBot="1">
      <c r="D104" s="5"/>
      <c r="E104" s="6"/>
      <c r="F104" s="5"/>
      <c r="G104" s="7"/>
      <c r="H104" s="7"/>
      <c r="I104" s="7"/>
    </row>
    <row r="105" spans="4:11">
      <c r="D105" s="320" t="s">
        <v>579</v>
      </c>
      <c r="E105" s="321"/>
      <c r="F105" s="322"/>
      <c r="G105" s="7"/>
      <c r="H105" s="7"/>
      <c r="I105" s="7"/>
    </row>
    <row r="106" spans="4:11" ht="49.5" customHeight="1">
      <c r="D106" s="24" t="s">
        <v>111</v>
      </c>
      <c r="E106" s="1" t="s">
        <v>112</v>
      </c>
      <c r="F106" s="46" t="s">
        <v>113</v>
      </c>
      <c r="G106" s="299" t="s">
        <v>110</v>
      </c>
      <c r="H106" s="7"/>
      <c r="I106" s="7"/>
    </row>
    <row r="107" spans="4:11" ht="12.75" customHeight="1">
      <c r="D107" s="121" t="s">
        <v>646</v>
      </c>
      <c r="E107" s="122" t="s">
        <v>647</v>
      </c>
      <c r="F107" s="123">
        <v>0</v>
      </c>
      <c r="G107" s="299"/>
      <c r="H107" s="7"/>
      <c r="I107" s="7"/>
    </row>
    <row r="108" spans="4:11" ht="12.75" customHeight="1">
      <c r="D108" s="121" t="s">
        <v>646</v>
      </c>
      <c r="E108" s="122" t="s">
        <v>647</v>
      </c>
      <c r="F108" s="123">
        <v>0</v>
      </c>
      <c r="G108" s="299"/>
      <c r="H108" s="7"/>
      <c r="I108" s="7"/>
    </row>
    <row r="109" spans="4:11" ht="12.75" customHeight="1" thickBot="1">
      <c r="D109" s="323" t="s">
        <v>114</v>
      </c>
      <c r="E109" s="324"/>
      <c r="F109" s="47">
        <f>+F107+F108</f>
        <v>0</v>
      </c>
      <c r="G109" s="299"/>
      <c r="H109" s="7"/>
      <c r="I109" s="7"/>
    </row>
    <row r="110" spans="4:11">
      <c r="D110" s="7"/>
      <c r="E110" s="7"/>
      <c r="F110" s="7"/>
      <c r="G110" s="7"/>
      <c r="H110" s="7"/>
      <c r="I110" s="7"/>
    </row>
    <row r="111" spans="4:11" ht="16" thickBot="1">
      <c r="D111" s="7"/>
      <c r="E111" s="7"/>
      <c r="F111" s="7"/>
      <c r="G111" s="7"/>
      <c r="H111" s="7"/>
      <c r="I111" s="7"/>
    </row>
    <row r="112" spans="4:11" ht="20.5" thickBot="1">
      <c r="D112" s="309" t="s">
        <v>115</v>
      </c>
      <c r="E112" s="310" t="s">
        <v>1</v>
      </c>
      <c r="F112" s="2"/>
      <c r="G112" s="2"/>
      <c r="H112" s="16"/>
      <c r="I112" s="7"/>
      <c r="K112" s="17"/>
    </row>
    <row r="113" spans="4:12" ht="16" thickBot="1">
      <c r="D113" s="311" t="s">
        <v>580</v>
      </c>
      <c r="E113" s="312"/>
      <c r="F113" s="33"/>
      <c r="G113" s="33"/>
      <c r="H113" s="7"/>
      <c r="I113" s="7"/>
    </row>
    <row r="114" spans="4:12" ht="16" thickBot="1">
      <c r="D114" s="296" t="s">
        <v>116</v>
      </c>
      <c r="E114" s="297"/>
      <c r="F114" s="298"/>
      <c r="G114" s="2"/>
      <c r="H114" s="7"/>
      <c r="I114" s="7"/>
    </row>
    <row r="115" spans="4:12">
      <c r="D115" s="49" t="s">
        <v>582</v>
      </c>
      <c r="E115" s="356" t="s">
        <v>581</v>
      </c>
      <c r="F115" s="54">
        <f>+M325</f>
        <v>65443</v>
      </c>
      <c r="G115" s="69" t="s">
        <v>117</v>
      </c>
      <c r="H115" s="69" t="s">
        <v>119</v>
      </c>
      <c r="I115" s="7"/>
    </row>
    <row r="116" spans="4:12" ht="31">
      <c r="D116" s="20" t="s">
        <v>583</v>
      </c>
      <c r="E116" s="357"/>
      <c r="F116" s="41">
        <v>0</v>
      </c>
      <c r="G116" s="69" t="s">
        <v>120</v>
      </c>
      <c r="H116" s="69" t="s">
        <v>121</v>
      </c>
      <c r="I116" s="7"/>
    </row>
    <row r="117" spans="4:12">
      <c r="D117" s="20" t="s">
        <v>584</v>
      </c>
      <c r="E117" s="357"/>
      <c r="F117" s="41">
        <v>0</v>
      </c>
      <c r="G117" s="69" t="s">
        <v>122</v>
      </c>
      <c r="H117" s="69" t="s">
        <v>123</v>
      </c>
      <c r="I117" s="7"/>
    </row>
    <row r="118" spans="4:12" ht="16" thickBot="1">
      <c r="D118" s="22" t="s">
        <v>585</v>
      </c>
      <c r="E118" s="358"/>
      <c r="F118" s="53">
        <f>F115-F116+F117</f>
        <v>65443</v>
      </c>
      <c r="G118" s="69" t="s">
        <v>124</v>
      </c>
      <c r="H118" s="69" t="s">
        <v>125</v>
      </c>
      <c r="I118" s="7"/>
    </row>
    <row r="119" spans="4:12" ht="16" thickBot="1">
      <c r="D119" s="313" t="s">
        <v>586</v>
      </c>
      <c r="E119" s="314"/>
      <c r="F119" s="80">
        <f>+E144</f>
        <v>0</v>
      </c>
      <c r="G119" s="69" t="s">
        <v>126</v>
      </c>
      <c r="H119" s="69" t="s">
        <v>127</v>
      </c>
      <c r="I119" s="7"/>
    </row>
    <row r="120" spans="4:12">
      <c r="D120" s="50" t="s">
        <v>587</v>
      </c>
      <c r="E120" s="317" t="s">
        <v>591</v>
      </c>
      <c r="F120" s="54">
        <f>+F119+F118</f>
        <v>65443</v>
      </c>
      <c r="G120" s="69" t="s">
        <v>128</v>
      </c>
      <c r="H120" s="69" t="s">
        <v>129</v>
      </c>
      <c r="I120" s="7"/>
    </row>
    <row r="121" spans="4:12">
      <c r="D121" s="20" t="s">
        <v>588</v>
      </c>
      <c r="E121" s="318"/>
      <c r="F121" s="52">
        <f>+M344</f>
        <v>0</v>
      </c>
      <c r="G121" s="69" t="s">
        <v>130</v>
      </c>
      <c r="H121" s="69" t="s">
        <v>131</v>
      </c>
      <c r="I121" s="7"/>
      <c r="K121" s="34"/>
    </row>
    <row r="122" spans="4:12" ht="31.5" thickBot="1">
      <c r="D122" s="22" t="s">
        <v>589</v>
      </c>
      <c r="E122" s="319"/>
      <c r="F122" s="52">
        <f>+M345</f>
        <v>0</v>
      </c>
      <c r="G122" s="69" t="s">
        <v>132</v>
      </c>
      <c r="H122" s="69" t="s">
        <v>133</v>
      </c>
      <c r="I122" s="7"/>
      <c r="K122" s="34"/>
    </row>
    <row r="123" spans="4:12" ht="16" thickBot="1">
      <c r="D123" s="315" t="s">
        <v>590</v>
      </c>
      <c r="E123" s="316"/>
      <c r="F123" s="81">
        <f>+F120+F121-F122</f>
        <v>65443</v>
      </c>
      <c r="G123" s="69" t="s">
        <v>134</v>
      </c>
      <c r="H123" s="69" t="s">
        <v>135</v>
      </c>
      <c r="I123" s="7"/>
      <c r="K123" s="82"/>
      <c r="L123" s="83"/>
    </row>
    <row r="124" spans="4:12">
      <c r="D124" s="2"/>
      <c r="E124" s="2"/>
      <c r="F124" s="2"/>
      <c r="G124" s="2"/>
      <c r="H124" s="7"/>
      <c r="I124" s="7"/>
      <c r="K124" s="84"/>
      <c r="L124" s="84"/>
    </row>
    <row r="125" spans="4:12" ht="16" thickBot="1">
      <c r="D125" s="2"/>
      <c r="E125" s="2"/>
      <c r="F125" s="2"/>
      <c r="G125" s="2"/>
      <c r="H125" s="7"/>
      <c r="I125" s="7"/>
    </row>
    <row r="126" spans="4:12">
      <c r="D126" s="311" t="s">
        <v>136</v>
      </c>
      <c r="E126" s="312"/>
      <c r="F126" s="2"/>
      <c r="G126" s="2"/>
      <c r="H126" s="56"/>
      <c r="I126" s="56"/>
    </row>
    <row r="127" spans="4:12">
      <c r="D127" s="55" t="s">
        <v>139</v>
      </c>
      <c r="E127" s="76" t="s">
        <v>140</v>
      </c>
      <c r="F127" s="69" t="s">
        <v>137</v>
      </c>
      <c r="G127" s="69" t="s">
        <v>138</v>
      </c>
      <c r="H127" s="56"/>
      <c r="I127" s="56"/>
    </row>
    <row r="128" spans="4:12">
      <c r="D128" s="55" t="s">
        <v>592</v>
      </c>
      <c r="E128" s="28">
        <f>+M327</f>
        <v>0</v>
      </c>
      <c r="F128" s="69" t="s">
        <v>141</v>
      </c>
      <c r="G128" s="69" t="s">
        <v>609</v>
      </c>
      <c r="H128" s="71"/>
    </row>
    <row r="129" spans="4:14">
      <c r="D129" s="55" t="s">
        <v>604</v>
      </c>
      <c r="E129" s="28">
        <f t="shared" ref="E129:E143" si="2">+M328</f>
        <v>0</v>
      </c>
      <c r="F129" s="69" t="s">
        <v>142</v>
      </c>
      <c r="G129" s="69" t="s">
        <v>610</v>
      </c>
      <c r="H129" s="71"/>
      <c r="I129" s="9"/>
    </row>
    <row r="130" spans="4:14">
      <c r="D130" s="55" t="s">
        <v>605</v>
      </c>
      <c r="E130" s="28">
        <f t="shared" si="2"/>
        <v>0</v>
      </c>
      <c r="F130" s="69" t="s">
        <v>143</v>
      </c>
      <c r="G130" s="69" t="s">
        <v>611</v>
      </c>
      <c r="H130" s="71"/>
      <c r="I130" s="85"/>
      <c r="J130" s="85"/>
    </row>
    <row r="131" spans="4:14">
      <c r="D131" s="55" t="s">
        <v>593</v>
      </c>
      <c r="E131" s="28">
        <f t="shared" si="2"/>
        <v>0</v>
      </c>
      <c r="F131" s="69" t="s">
        <v>144</v>
      </c>
      <c r="G131" s="69" t="s">
        <v>612</v>
      </c>
      <c r="H131" s="56"/>
      <c r="I131" s="56"/>
      <c r="J131" s="56"/>
      <c r="K131" s="56"/>
      <c r="L131" s="56"/>
      <c r="M131" s="56"/>
      <c r="N131" s="56"/>
    </row>
    <row r="132" spans="4:14">
      <c r="D132" s="55" t="s">
        <v>594</v>
      </c>
      <c r="E132" s="28">
        <f t="shared" si="2"/>
        <v>0</v>
      </c>
      <c r="F132" s="69" t="s">
        <v>145</v>
      </c>
      <c r="G132" s="69" t="s">
        <v>613</v>
      </c>
      <c r="H132" s="86"/>
      <c r="I132" s="56"/>
      <c r="J132" s="56"/>
      <c r="K132" s="56"/>
      <c r="L132" s="56"/>
      <c r="M132" s="56"/>
      <c r="N132" s="56"/>
    </row>
    <row r="133" spans="4:14">
      <c r="D133" s="55" t="s">
        <v>595</v>
      </c>
      <c r="E133" s="28">
        <f t="shared" si="2"/>
        <v>0</v>
      </c>
      <c r="F133" s="69" t="s">
        <v>146</v>
      </c>
      <c r="G133" s="69" t="s">
        <v>147</v>
      </c>
      <c r="H133" s="56"/>
      <c r="I133" s="56"/>
      <c r="J133" s="56"/>
      <c r="K133" s="56"/>
      <c r="L133" s="56"/>
      <c r="M133" s="56"/>
      <c r="N133" s="56"/>
    </row>
    <row r="134" spans="4:14">
      <c r="D134" s="55" t="s">
        <v>596</v>
      </c>
      <c r="E134" s="28">
        <f t="shared" si="2"/>
        <v>0</v>
      </c>
      <c r="F134" s="69" t="s">
        <v>148</v>
      </c>
      <c r="G134" s="69" t="s">
        <v>149</v>
      </c>
      <c r="H134" s="56"/>
      <c r="I134" s="56"/>
      <c r="J134" s="56"/>
      <c r="K134" s="56"/>
      <c r="L134" s="56"/>
      <c r="M134" s="56"/>
      <c r="N134" s="56"/>
    </row>
    <row r="135" spans="4:14">
      <c r="D135" s="55" t="s">
        <v>597</v>
      </c>
      <c r="E135" s="28">
        <f t="shared" si="2"/>
        <v>0</v>
      </c>
      <c r="F135" s="69" t="s">
        <v>150</v>
      </c>
      <c r="G135" s="69" t="s">
        <v>615</v>
      </c>
      <c r="H135" s="56"/>
      <c r="I135" s="56"/>
      <c r="J135" s="56"/>
      <c r="K135" s="56"/>
      <c r="L135" s="56"/>
      <c r="M135" s="56"/>
      <c r="N135" s="56"/>
    </row>
    <row r="136" spans="4:14">
      <c r="D136" s="55" t="s">
        <v>598</v>
      </c>
      <c r="E136" s="28">
        <f t="shared" si="2"/>
        <v>0</v>
      </c>
      <c r="F136" s="69" t="s">
        <v>151</v>
      </c>
      <c r="G136" s="69" t="s">
        <v>616</v>
      </c>
      <c r="H136" s="87"/>
      <c r="I136" s="56"/>
      <c r="J136" s="56"/>
      <c r="K136" s="56"/>
      <c r="L136" s="7"/>
      <c r="M136" s="7"/>
      <c r="N136" s="7"/>
    </row>
    <row r="137" spans="4:14">
      <c r="D137" s="55" t="s">
        <v>599</v>
      </c>
      <c r="E137" s="28">
        <f t="shared" si="2"/>
        <v>0</v>
      </c>
      <c r="F137" s="69" t="s">
        <v>152</v>
      </c>
      <c r="G137" s="69" t="s">
        <v>617</v>
      </c>
      <c r="H137" s="56"/>
      <c r="I137" s="56"/>
      <c r="J137" s="56"/>
      <c r="K137" s="56"/>
      <c r="L137" s="7"/>
      <c r="M137" s="7"/>
      <c r="N137" s="7"/>
    </row>
    <row r="138" spans="4:14">
      <c r="D138" s="55" t="s">
        <v>606</v>
      </c>
      <c r="E138" s="28">
        <f t="shared" si="2"/>
        <v>0</v>
      </c>
      <c r="F138" s="69" t="s">
        <v>153</v>
      </c>
      <c r="G138" s="69" t="s">
        <v>618</v>
      </c>
      <c r="H138" s="35"/>
      <c r="I138" s="88"/>
      <c r="J138" s="7"/>
      <c r="K138" s="7"/>
      <c r="L138" s="7"/>
      <c r="M138" s="7"/>
      <c r="N138" s="7"/>
    </row>
    <row r="139" spans="4:14">
      <c r="D139" s="55" t="s">
        <v>607</v>
      </c>
      <c r="E139" s="28">
        <f t="shared" si="2"/>
        <v>0</v>
      </c>
      <c r="F139" s="69" t="s">
        <v>154</v>
      </c>
      <c r="G139" s="69" t="s">
        <v>619</v>
      </c>
      <c r="H139" s="35"/>
      <c r="I139" s="7"/>
      <c r="J139" s="7"/>
      <c r="K139" s="7"/>
      <c r="L139" s="7"/>
      <c r="M139" s="7"/>
      <c r="N139" s="7"/>
    </row>
    <row r="140" spans="4:14">
      <c r="D140" s="55" t="s">
        <v>600</v>
      </c>
      <c r="E140" s="28">
        <f t="shared" si="2"/>
        <v>0</v>
      </c>
      <c r="F140" s="69" t="s">
        <v>155</v>
      </c>
      <c r="G140" s="69" t="s">
        <v>620</v>
      </c>
      <c r="H140" s="36"/>
      <c r="I140" s="7"/>
      <c r="J140" s="7"/>
      <c r="K140" s="7"/>
      <c r="L140" s="7"/>
      <c r="M140" s="7"/>
      <c r="N140" s="7"/>
    </row>
    <row r="141" spans="4:14">
      <c r="D141" s="55" t="s">
        <v>601</v>
      </c>
      <c r="E141" s="28">
        <f t="shared" si="2"/>
        <v>0</v>
      </c>
      <c r="F141" s="69" t="s">
        <v>156</v>
      </c>
      <c r="G141" s="69" t="s">
        <v>614</v>
      </c>
      <c r="H141" s="89"/>
      <c r="I141" s="7"/>
      <c r="J141" s="7"/>
      <c r="K141" s="7"/>
      <c r="L141" s="7"/>
      <c r="M141" s="7"/>
      <c r="N141" s="7"/>
    </row>
    <row r="142" spans="4:14">
      <c r="D142" s="55" t="s">
        <v>602</v>
      </c>
      <c r="E142" s="28">
        <f t="shared" si="2"/>
        <v>0</v>
      </c>
      <c r="F142" s="69" t="s">
        <v>157</v>
      </c>
      <c r="G142" s="69" t="s">
        <v>621</v>
      </c>
      <c r="H142" s="89"/>
      <c r="I142" s="7"/>
      <c r="J142" s="7"/>
      <c r="K142" s="7"/>
      <c r="L142" s="7"/>
      <c r="M142" s="7"/>
      <c r="N142" s="7"/>
    </row>
    <row r="143" spans="4:14">
      <c r="D143" s="55" t="s">
        <v>603</v>
      </c>
      <c r="E143" s="28">
        <f t="shared" si="2"/>
        <v>0</v>
      </c>
      <c r="F143" s="69" t="s">
        <v>159</v>
      </c>
      <c r="G143" s="69" t="s">
        <v>158</v>
      </c>
      <c r="H143" s="71"/>
      <c r="I143" s="7"/>
      <c r="J143" s="7"/>
      <c r="K143" s="7"/>
      <c r="L143" s="7"/>
      <c r="M143" s="7"/>
      <c r="N143" s="7"/>
    </row>
    <row r="144" spans="4:14" ht="16" thickBot="1">
      <c r="D144" s="39" t="s">
        <v>608</v>
      </c>
      <c r="E144" s="90">
        <f>SUM(E128:E143)</f>
        <v>0</v>
      </c>
      <c r="F144" s="69" t="s">
        <v>126</v>
      </c>
      <c r="G144" s="69" t="s">
        <v>160</v>
      </c>
      <c r="I144" s="7"/>
      <c r="J144" s="7"/>
      <c r="K144" s="91"/>
      <c r="L144" s="83"/>
      <c r="M144" s="7"/>
      <c r="N144" s="7"/>
    </row>
    <row r="145" spans="4:14">
      <c r="D145" s="4"/>
      <c r="E145" s="4"/>
      <c r="F145" s="4"/>
      <c r="G145" s="7"/>
      <c r="H145" s="7"/>
      <c r="I145" s="7"/>
      <c r="J145" s="7"/>
      <c r="K145" s="7"/>
      <c r="L145" s="7"/>
      <c r="M145" s="7"/>
      <c r="N145" s="7"/>
    </row>
    <row r="146" spans="4:14" ht="16" thickBot="1">
      <c r="D146" s="4"/>
      <c r="E146" s="4"/>
      <c r="F146" s="4"/>
      <c r="G146" s="7"/>
      <c r="H146" s="7"/>
      <c r="I146" s="7"/>
      <c r="J146" s="7"/>
      <c r="K146" s="7"/>
      <c r="L146" s="7"/>
      <c r="M146" s="7"/>
      <c r="N146" s="7"/>
    </row>
    <row r="147" spans="4:14" ht="16" thickBot="1">
      <c r="D147" s="296" t="s">
        <v>161</v>
      </c>
      <c r="E147" s="360" t="s">
        <v>102</v>
      </c>
      <c r="F147" s="312"/>
      <c r="G147" s="7"/>
      <c r="H147" s="343" t="s">
        <v>162</v>
      </c>
      <c r="I147" s="343"/>
      <c r="J147" s="343"/>
      <c r="K147" s="343"/>
      <c r="L147" s="343"/>
      <c r="M147" s="343"/>
      <c r="N147" s="7"/>
    </row>
    <row r="148" spans="4:14" ht="31">
      <c r="D148" s="93"/>
      <c r="E148" s="1" t="s">
        <v>622</v>
      </c>
      <c r="F148" s="46" t="s">
        <v>623</v>
      </c>
      <c r="G148" s="359" t="s">
        <v>163</v>
      </c>
      <c r="H148" s="343"/>
      <c r="I148" s="343"/>
      <c r="J148" s="343"/>
      <c r="K148" s="343"/>
      <c r="L148" s="343"/>
      <c r="M148" s="343"/>
      <c r="N148" s="7"/>
    </row>
    <row r="149" spans="4:14">
      <c r="D149" s="43" t="s">
        <v>164</v>
      </c>
      <c r="E149" s="42">
        <v>0</v>
      </c>
      <c r="F149" s="41">
        <v>0</v>
      </c>
      <c r="G149" s="359"/>
      <c r="H149" s="343"/>
      <c r="I149" s="343"/>
      <c r="J149" s="343"/>
      <c r="K149" s="343"/>
      <c r="L149" s="343"/>
      <c r="M149" s="343"/>
      <c r="N149" s="7"/>
    </row>
    <row r="150" spans="4:14">
      <c r="D150" s="43" t="s">
        <v>165</v>
      </c>
      <c r="E150" s="42">
        <v>0</v>
      </c>
      <c r="F150" s="41">
        <v>0</v>
      </c>
      <c r="G150" s="359"/>
      <c r="H150" s="343"/>
      <c r="I150" s="343"/>
      <c r="J150" s="343"/>
      <c r="K150" s="343"/>
      <c r="L150" s="343"/>
      <c r="M150" s="343"/>
      <c r="N150" s="7"/>
    </row>
    <row r="151" spans="4:14" ht="32" customHeight="1" thickBot="1">
      <c r="D151" s="44" t="s">
        <v>166</v>
      </c>
      <c r="E151" s="94">
        <f>+E149+E150</f>
        <v>0</v>
      </c>
      <c r="F151" s="95">
        <f>+F149+F150</f>
        <v>0</v>
      </c>
      <c r="G151" s="359"/>
      <c r="H151" s="343"/>
      <c r="I151" s="343"/>
      <c r="J151" s="343"/>
      <c r="K151" s="343"/>
      <c r="L151" s="343"/>
      <c r="M151" s="343"/>
      <c r="N151" s="7"/>
    </row>
    <row r="152" spans="4:14">
      <c r="D152" s="5"/>
      <c r="E152" s="5"/>
      <c r="F152" s="5"/>
      <c r="G152" s="7"/>
      <c r="H152" s="7"/>
      <c r="I152" s="7"/>
      <c r="J152" s="7"/>
      <c r="K152" s="56"/>
      <c r="L152" s="56"/>
      <c r="M152" s="56"/>
      <c r="N152" s="56"/>
    </row>
    <row r="153" spans="4:14" ht="16" thickBot="1">
      <c r="D153" s="5"/>
      <c r="E153" s="5"/>
      <c r="F153" s="5"/>
      <c r="G153" s="7"/>
      <c r="H153" s="7"/>
      <c r="I153" s="7"/>
      <c r="J153" s="7"/>
      <c r="K153" s="56"/>
      <c r="L153" s="56"/>
      <c r="M153" s="56"/>
      <c r="N153" s="56"/>
    </row>
    <row r="154" spans="4:14" ht="16" thickBot="1">
      <c r="D154" s="311" t="s">
        <v>167</v>
      </c>
      <c r="E154" s="312" t="s">
        <v>102</v>
      </c>
      <c r="F154" s="56"/>
      <c r="G154" s="7"/>
      <c r="H154" s="7"/>
      <c r="I154" s="7"/>
      <c r="J154" s="7"/>
      <c r="K154" s="56"/>
      <c r="L154" s="56"/>
      <c r="M154" s="56"/>
      <c r="N154" s="56"/>
    </row>
    <row r="155" spans="4:14">
      <c r="D155" s="311" t="s">
        <v>168</v>
      </c>
      <c r="E155" s="312"/>
      <c r="F155" s="56"/>
      <c r="G155" s="56"/>
      <c r="H155" s="56"/>
      <c r="I155" s="56"/>
      <c r="J155" s="56"/>
      <c r="K155" s="56"/>
      <c r="L155" s="56"/>
      <c r="M155" s="56"/>
      <c r="N155" s="56"/>
    </row>
    <row r="156" spans="4:14">
      <c r="D156" s="96" t="s">
        <v>170</v>
      </c>
      <c r="E156" s="41">
        <v>0</v>
      </c>
      <c r="F156" s="56"/>
      <c r="G156" s="69" t="s">
        <v>169</v>
      </c>
      <c r="H156" s="56"/>
      <c r="I156" s="56"/>
      <c r="J156" s="56"/>
      <c r="K156" s="56"/>
      <c r="L156" s="56"/>
      <c r="M156" s="56"/>
      <c r="N156" s="56"/>
    </row>
    <row r="157" spans="4:14" ht="31">
      <c r="D157" s="97" t="s">
        <v>172</v>
      </c>
      <c r="E157" s="41">
        <v>0</v>
      </c>
      <c r="F157" s="56"/>
      <c r="G157" s="69" t="s">
        <v>171</v>
      </c>
      <c r="H157" s="56"/>
      <c r="I157" s="56"/>
      <c r="J157" s="56"/>
      <c r="K157" s="56"/>
      <c r="L157" s="56"/>
      <c r="M157" s="56"/>
      <c r="N157" s="56"/>
    </row>
    <row r="158" spans="4:14" ht="16" thickBot="1">
      <c r="D158" s="98" t="s">
        <v>174</v>
      </c>
      <c r="E158" s="99">
        <v>0</v>
      </c>
      <c r="F158" s="69" t="s">
        <v>151</v>
      </c>
      <c r="G158" s="69" t="s">
        <v>173</v>
      </c>
      <c r="H158" s="56"/>
      <c r="I158" s="56"/>
      <c r="J158" s="56"/>
      <c r="K158" s="56"/>
      <c r="L158" s="56"/>
      <c r="M158" s="56"/>
      <c r="N158" s="56"/>
    </row>
    <row r="159" spans="4:14" ht="16" thickBot="1">
      <c r="D159" s="56"/>
      <c r="E159" s="56"/>
      <c r="F159" s="56"/>
      <c r="G159" s="56"/>
      <c r="H159" s="56"/>
      <c r="I159" s="56"/>
      <c r="J159" s="56"/>
      <c r="K159" s="56"/>
      <c r="L159" s="56"/>
      <c r="M159" s="56"/>
      <c r="N159" s="56"/>
    </row>
    <row r="160" spans="4:14" ht="16" thickBot="1">
      <c r="D160" s="296" t="s">
        <v>175</v>
      </c>
      <c r="E160" s="297"/>
      <c r="F160" s="298"/>
      <c r="G160" s="56"/>
      <c r="H160" s="56"/>
      <c r="I160" s="56"/>
      <c r="J160" s="56"/>
      <c r="K160" s="56"/>
      <c r="L160" s="56"/>
      <c r="M160" s="56"/>
      <c r="N160" s="56"/>
    </row>
    <row r="161" spans="1:14">
      <c r="A161" s="258"/>
      <c r="D161" s="103"/>
      <c r="E161" s="104" t="s">
        <v>177</v>
      </c>
      <c r="F161" s="105" t="s">
        <v>178</v>
      </c>
      <c r="G161" s="69" t="s">
        <v>176</v>
      </c>
      <c r="H161" s="56"/>
      <c r="I161" s="56"/>
      <c r="J161" s="56"/>
      <c r="K161" s="56"/>
      <c r="L161" s="56"/>
      <c r="M161" s="56"/>
      <c r="N161" s="56"/>
    </row>
    <row r="162" spans="1:14">
      <c r="A162" s="259" t="s">
        <v>661</v>
      </c>
      <c r="D162" s="100" t="s">
        <v>180</v>
      </c>
      <c r="E162" s="129" t="s">
        <v>3</v>
      </c>
      <c r="F162" s="130" t="s">
        <v>3</v>
      </c>
      <c r="G162" s="116" t="s">
        <v>179</v>
      </c>
      <c r="H162" s="56"/>
      <c r="I162" s="56"/>
      <c r="J162" s="56"/>
      <c r="K162" s="56"/>
      <c r="L162" s="56"/>
      <c r="M162" s="56"/>
      <c r="N162" s="56"/>
    </row>
    <row r="163" spans="1:14">
      <c r="A163" s="258" t="s">
        <v>3</v>
      </c>
      <c r="D163" s="101" t="s">
        <v>182</v>
      </c>
      <c r="E163" s="129" t="s">
        <v>3</v>
      </c>
      <c r="F163" s="130" t="s">
        <v>3</v>
      </c>
      <c r="G163" s="116" t="s">
        <v>181</v>
      </c>
      <c r="H163" s="56"/>
      <c r="I163" s="56"/>
      <c r="J163" s="56"/>
      <c r="K163" s="56"/>
      <c r="L163" s="56"/>
      <c r="M163" s="56"/>
      <c r="N163" s="56"/>
    </row>
    <row r="164" spans="1:14" ht="16" thickBot="1">
      <c r="A164" s="258"/>
      <c r="D164" s="102" t="s">
        <v>184</v>
      </c>
      <c r="E164" s="131" t="s">
        <v>3</v>
      </c>
      <c r="F164" s="132" t="s">
        <v>3</v>
      </c>
      <c r="G164" s="116" t="s">
        <v>183</v>
      </c>
      <c r="H164" s="56"/>
      <c r="I164" s="56"/>
      <c r="J164" s="56"/>
      <c r="K164" s="56"/>
      <c r="L164" s="56"/>
      <c r="M164" s="56"/>
      <c r="N164" s="56"/>
    </row>
    <row r="165" spans="1:14" ht="16" thickBot="1">
      <c r="A165" s="258"/>
      <c r="D165" s="6"/>
      <c r="E165" s="56"/>
      <c r="F165" s="56"/>
      <c r="G165" s="56"/>
      <c r="H165" s="56"/>
      <c r="I165" s="56"/>
      <c r="J165" s="56"/>
      <c r="K165" s="56"/>
      <c r="L165" s="56"/>
      <c r="M165" s="7"/>
      <c r="N165" s="7"/>
    </row>
    <row r="166" spans="1:14" ht="16" thickBot="1">
      <c r="B166" s="9"/>
      <c r="D166" s="311" t="s">
        <v>185</v>
      </c>
      <c r="E166" s="312"/>
      <c r="F166" s="56"/>
      <c r="G166" s="56"/>
      <c r="H166" s="56"/>
      <c r="I166" s="56"/>
      <c r="J166" s="56"/>
      <c r="K166" s="56"/>
      <c r="L166" s="56"/>
      <c r="M166" s="7"/>
      <c r="N166" s="7"/>
    </row>
    <row r="167" spans="1:14" ht="16" thickBot="1">
      <c r="B167" s="9"/>
      <c r="D167" s="108" t="s">
        <v>626</v>
      </c>
      <c r="E167" s="109">
        <v>2024</v>
      </c>
      <c r="F167" s="69" t="s">
        <v>186</v>
      </c>
      <c r="G167" s="56"/>
      <c r="H167" s="56"/>
      <c r="I167" s="56"/>
      <c r="J167" s="56"/>
      <c r="K167" s="56"/>
      <c r="L167" s="56"/>
      <c r="M167" s="7"/>
      <c r="N167" s="7"/>
    </row>
    <row r="168" spans="1:14">
      <c r="B168" s="9"/>
      <c r="D168" s="311" t="s">
        <v>624</v>
      </c>
      <c r="E168" s="312"/>
      <c r="F168" s="7"/>
      <c r="G168" s="7"/>
      <c r="H168" s="7"/>
      <c r="I168" s="7"/>
      <c r="J168" s="7"/>
      <c r="K168" s="7"/>
      <c r="L168" s="7"/>
      <c r="M168" s="7"/>
      <c r="N168" s="7"/>
    </row>
    <row r="169" spans="1:14">
      <c r="B169" s="9"/>
      <c r="D169" s="364" t="s">
        <v>187</v>
      </c>
      <c r="E169" s="365"/>
      <c r="F169" s="7"/>
      <c r="G169" s="7"/>
      <c r="H169" s="7"/>
      <c r="I169" s="7"/>
      <c r="J169" s="7"/>
      <c r="K169" s="7"/>
      <c r="L169" s="7"/>
      <c r="M169" s="7"/>
      <c r="N169" s="7"/>
    </row>
    <row r="170" spans="1:14" ht="46.5" customHeight="1">
      <c r="B170" s="9"/>
      <c r="D170" s="43" t="s">
        <v>625</v>
      </c>
      <c r="E170" s="110" t="s">
        <v>189</v>
      </c>
      <c r="F170" s="69" t="s">
        <v>188</v>
      </c>
      <c r="G170" s="7"/>
      <c r="H170" s="7"/>
      <c r="I170" s="7"/>
      <c r="J170" s="7"/>
      <c r="K170" s="7"/>
      <c r="L170" s="7"/>
      <c r="M170" s="7"/>
      <c r="N170" s="7"/>
    </row>
    <row r="171" spans="1:14" ht="16" thickBot="1">
      <c r="B171" s="9"/>
      <c r="D171" s="111">
        <v>0</v>
      </c>
      <c r="E171" s="112">
        <v>0</v>
      </c>
      <c r="F171" s="7"/>
      <c r="G171" s="7"/>
      <c r="H171" s="7"/>
      <c r="I171" s="7"/>
      <c r="J171" s="7"/>
      <c r="K171" s="7"/>
      <c r="L171" s="7"/>
      <c r="M171" s="7"/>
      <c r="N171" s="7"/>
    </row>
    <row r="172" spans="1:14" ht="14" customHeight="1" thickBot="1">
      <c r="B172" s="9"/>
      <c r="C172" s="9"/>
      <c r="D172" s="347" t="s">
        <v>191</v>
      </c>
      <c r="E172" s="348"/>
      <c r="F172" s="348"/>
      <c r="G172" s="349"/>
      <c r="H172" s="7"/>
      <c r="I172" s="7"/>
      <c r="J172" s="7"/>
      <c r="K172" s="7"/>
      <c r="L172" s="7"/>
      <c r="M172" s="7"/>
      <c r="N172" s="7"/>
    </row>
    <row r="173" spans="1:14" ht="46.5">
      <c r="B173" s="9"/>
      <c r="C173" s="9"/>
      <c r="D173" s="113" t="s">
        <v>627</v>
      </c>
      <c r="E173" s="114" t="s">
        <v>628</v>
      </c>
      <c r="F173" s="114" t="s">
        <v>629</v>
      </c>
      <c r="G173" s="115" t="s">
        <v>630</v>
      </c>
      <c r="H173" s="116" t="s">
        <v>190</v>
      </c>
      <c r="I173" s="7"/>
      <c r="J173" s="7"/>
      <c r="K173" s="7"/>
      <c r="L173" s="7"/>
      <c r="M173" s="7"/>
      <c r="N173" s="7"/>
    </row>
    <row r="174" spans="1:14" ht="16" thickBot="1">
      <c r="B174" s="9"/>
      <c r="C174" s="9"/>
      <c r="D174" s="107">
        <v>0</v>
      </c>
      <c r="E174" s="106">
        <v>0</v>
      </c>
      <c r="F174" s="106">
        <v>0</v>
      </c>
      <c r="G174" s="99">
        <v>0</v>
      </c>
      <c r="H174" s="7"/>
      <c r="I174" s="7"/>
      <c r="J174" s="7"/>
      <c r="K174" s="7"/>
      <c r="L174" s="7"/>
      <c r="M174" s="7"/>
      <c r="N174" s="7"/>
    </row>
    <row r="175" spans="1:14" ht="16" thickBot="1">
      <c r="B175" s="9"/>
      <c r="C175" s="9"/>
      <c r="D175" s="7"/>
      <c r="E175" s="7"/>
      <c r="F175" s="7"/>
      <c r="G175" s="7"/>
      <c r="H175" s="7"/>
      <c r="I175" s="7"/>
      <c r="J175" s="7"/>
      <c r="K175" s="7"/>
      <c r="L175" s="7"/>
      <c r="M175" s="7"/>
      <c r="N175" s="7"/>
    </row>
    <row r="176" spans="1:14" ht="15.5" customHeight="1">
      <c r="B176" s="9"/>
      <c r="C176" s="9"/>
      <c r="D176" s="320" t="s">
        <v>193</v>
      </c>
      <c r="E176" s="321"/>
      <c r="F176" s="321"/>
      <c r="G176" s="321"/>
      <c r="H176" s="322"/>
      <c r="I176" s="7"/>
      <c r="J176" s="7"/>
      <c r="K176" s="7"/>
      <c r="L176" s="7"/>
      <c r="M176" s="7"/>
      <c r="N176" s="7"/>
    </row>
    <row r="177" spans="1:17" ht="46.5">
      <c r="B177" s="9"/>
      <c r="C177" s="9"/>
      <c r="D177" s="117" t="s">
        <v>631</v>
      </c>
      <c r="E177" s="48" t="s">
        <v>632</v>
      </c>
      <c r="F177" s="48" t="s">
        <v>633</v>
      </c>
      <c r="G177" s="48" t="s">
        <v>634</v>
      </c>
      <c r="H177" s="118" t="s">
        <v>635</v>
      </c>
      <c r="I177" s="116" t="s">
        <v>192</v>
      </c>
      <c r="J177" s="343" t="s">
        <v>194</v>
      </c>
      <c r="K177" s="343"/>
      <c r="L177" s="343"/>
      <c r="M177" s="343"/>
      <c r="N177" s="343"/>
    </row>
    <row r="178" spans="1:17">
      <c r="A178" s="84" t="s">
        <v>645</v>
      </c>
      <c r="B178" s="9"/>
      <c r="C178" s="9"/>
      <c r="D178" s="119" t="s">
        <v>3</v>
      </c>
      <c r="E178" s="42">
        <v>0</v>
      </c>
      <c r="F178" s="42">
        <v>0</v>
      </c>
      <c r="G178" s="42">
        <v>0</v>
      </c>
      <c r="H178" s="41">
        <v>0</v>
      </c>
      <c r="I178" s="7"/>
      <c r="J178" s="343"/>
      <c r="K178" s="343"/>
      <c r="L178" s="343"/>
      <c r="M178" s="343"/>
      <c r="N178" s="343"/>
    </row>
    <row r="179" spans="1:17" ht="16" thickBot="1">
      <c r="A179" s="84" t="s">
        <v>3</v>
      </c>
      <c r="B179" s="9"/>
      <c r="C179" s="9"/>
      <c r="D179" s="107" t="s">
        <v>3</v>
      </c>
      <c r="E179" s="106">
        <v>0</v>
      </c>
      <c r="F179" s="106">
        <v>0</v>
      </c>
      <c r="G179" s="106">
        <v>0</v>
      </c>
      <c r="H179" s="99">
        <v>0</v>
      </c>
      <c r="I179" s="7"/>
      <c r="J179" s="343"/>
      <c r="K179" s="343"/>
      <c r="L179" s="343"/>
      <c r="M179" s="343"/>
      <c r="N179" s="343"/>
    </row>
    <row r="180" spans="1:17">
      <c r="C180" s="9"/>
      <c r="I180" s="7"/>
      <c r="J180" s="7"/>
      <c r="K180" s="7"/>
      <c r="L180" s="7"/>
      <c r="M180" s="7"/>
      <c r="N180" s="7"/>
    </row>
    <row r="181" spans="1:17" ht="16" thickBot="1">
      <c r="I181" s="7"/>
      <c r="J181" s="7"/>
      <c r="K181" s="7"/>
      <c r="L181" s="7"/>
      <c r="M181" s="7"/>
      <c r="N181" s="7"/>
    </row>
    <row r="182" spans="1:17" ht="20.5" thickBot="1">
      <c r="D182" s="309" t="s">
        <v>195</v>
      </c>
      <c r="E182" s="310" t="s">
        <v>1</v>
      </c>
      <c r="F182" s="10"/>
      <c r="G182" s="10"/>
      <c r="H182" s="10"/>
      <c r="I182" s="10"/>
      <c r="J182" s="10"/>
      <c r="K182" s="17"/>
      <c r="L182" s="10"/>
      <c r="M182" s="7"/>
      <c r="N182" s="7"/>
    </row>
    <row r="183" spans="1:17" ht="16" thickBot="1">
      <c r="D183" s="311" t="s">
        <v>636</v>
      </c>
      <c r="E183" s="312"/>
      <c r="F183" s="5"/>
      <c r="G183" s="5"/>
      <c r="H183" s="5"/>
      <c r="I183" s="5"/>
      <c r="J183" s="5"/>
      <c r="K183" s="5"/>
      <c r="L183" s="5"/>
      <c r="M183" s="7"/>
      <c r="N183" s="7"/>
    </row>
    <row r="184" spans="1:17">
      <c r="D184" s="320" t="s">
        <v>196</v>
      </c>
      <c r="E184" s="322"/>
      <c r="F184" s="7"/>
      <c r="G184" s="7"/>
      <c r="H184" s="7"/>
      <c r="I184" s="7"/>
      <c r="J184" s="7"/>
      <c r="K184" s="7"/>
      <c r="L184" s="10"/>
      <c r="M184" s="7"/>
      <c r="N184" s="7"/>
    </row>
    <row r="185" spans="1:17">
      <c r="D185" s="24" t="s">
        <v>637</v>
      </c>
      <c r="E185" s="110"/>
      <c r="F185" s="69" t="s">
        <v>197</v>
      </c>
      <c r="G185" s="7"/>
      <c r="H185" s="7"/>
      <c r="I185" s="7"/>
      <c r="J185" s="7"/>
      <c r="K185" s="7"/>
      <c r="L185" s="9"/>
    </row>
    <row r="186" spans="1:17" ht="33.5" customHeight="1">
      <c r="A186" s="84" t="s">
        <v>648</v>
      </c>
      <c r="D186" s="120" t="s">
        <v>641</v>
      </c>
      <c r="E186" s="41" t="s">
        <v>650</v>
      </c>
      <c r="F186" s="69" t="s">
        <v>638</v>
      </c>
      <c r="G186" s="350" t="s">
        <v>198</v>
      </c>
      <c r="H186" s="351"/>
      <c r="I186" s="351"/>
      <c r="J186" s="351"/>
      <c r="K186" s="351"/>
      <c r="L186" s="351"/>
      <c r="M186" s="351"/>
      <c r="N186" s="351"/>
      <c r="O186" s="351"/>
      <c r="P186" s="351"/>
      <c r="Q186" s="352"/>
    </row>
    <row r="187" spans="1:17" ht="29" customHeight="1">
      <c r="A187" s="84" t="s">
        <v>649</v>
      </c>
      <c r="D187" s="120" t="s">
        <v>642</v>
      </c>
      <c r="E187" s="41" t="s">
        <v>650</v>
      </c>
      <c r="F187" s="69" t="s">
        <v>639</v>
      </c>
      <c r="G187" s="343" t="s">
        <v>199</v>
      </c>
      <c r="H187" s="343"/>
      <c r="I187" s="343"/>
      <c r="J187" s="343"/>
      <c r="K187" s="343"/>
      <c r="L187" s="343"/>
      <c r="M187" s="343"/>
      <c r="N187" s="343"/>
      <c r="O187" s="343"/>
      <c r="P187" s="343"/>
      <c r="Q187" s="343"/>
    </row>
    <row r="188" spans="1:17">
      <c r="A188" s="84" t="s">
        <v>650</v>
      </c>
      <c r="D188" s="120" t="s">
        <v>643</v>
      </c>
      <c r="E188" s="41" t="s">
        <v>650</v>
      </c>
      <c r="F188" s="69" t="s">
        <v>200</v>
      </c>
      <c r="G188" s="344" t="s">
        <v>201</v>
      </c>
      <c r="H188" s="345"/>
      <c r="I188" s="345"/>
      <c r="J188" s="345"/>
      <c r="K188" s="345"/>
      <c r="L188" s="345"/>
      <c r="M188" s="345"/>
      <c r="N188" s="345"/>
      <c r="O188" s="345"/>
      <c r="P188" s="345"/>
      <c r="Q188" s="346"/>
    </row>
    <row r="189" spans="1:17" ht="31" customHeight="1" thickBot="1">
      <c r="D189" s="125" t="s">
        <v>644</v>
      </c>
      <c r="E189" s="112" t="s">
        <v>650</v>
      </c>
      <c r="F189" s="69" t="s">
        <v>640</v>
      </c>
      <c r="G189" s="343" t="s">
        <v>202</v>
      </c>
      <c r="H189" s="343"/>
      <c r="I189" s="343"/>
      <c r="J189" s="343"/>
      <c r="K189" s="343"/>
      <c r="L189" s="343"/>
      <c r="M189" s="343"/>
      <c r="N189" s="343"/>
      <c r="O189" s="343"/>
      <c r="P189" s="343"/>
      <c r="Q189" s="343"/>
    </row>
    <row r="190" spans="1:17" ht="15.5" customHeight="1">
      <c r="D190" s="126" t="s">
        <v>204</v>
      </c>
      <c r="E190" s="127" t="s">
        <v>205</v>
      </c>
      <c r="F190" s="128" t="s">
        <v>206</v>
      </c>
      <c r="G190" s="299" t="s">
        <v>203</v>
      </c>
      <c r="H190" s="7"/>
      <c r="I190" s="7"/>
      <c r="J190" s="7"/>
      <c r="K190" s="7"/>
      <c r="L190" s="7"/>
    </row>
    <row r="191" spans="1:17" ht="68" customHeight="1">
      <c r="D191" s="43" t="s">
        <v>653</v>
      </c>
      <c r="E191" s="129" t="s">
        <v>3</v>
      </c>
      <c r="F191" s="130" t="s">
        <v>3</v>
      </c>
      <c r="G191" s="299"/>
      <c r="H191" s="292" t="s">
        <v>207</v>
      </c>
      <c r="I191" s="292"/>
      <c r="J191" s="292"/>
      <c r="K191" s="292"/>
      <c r="L191" s="292"/>
      <c r="M191" s="292"/>
      <c r="N191" s="292"/>
      <c r="O191" s="292"/>
      <c r="P191" s="292"/>
      <c r="Q191" s="292"/>
    </row>
    <row r="192" spans="1:17" ht="30" customHeight="1">
      <c r="D192" s="43" t="s">
        <v>654</v>
      </c>
      <c r="E192" s="129" t="s">
        <v>3</v>
      </c>
      <c r="F192" s="130" t="s">
        <v>3</v>
      </c>
      <c r="G192" s="299"/>
      <c r="H192" s="292" t="s">
        <v>208</v>
      </c>
      <c r="I192" s="292"/>
      <c r="J192" s="292"/>
      <c r="K192" s="292"/>
      <c r="L192" s="292"/>
      <c r="M192" s="292"/>
      <c r="N192" s="292"/>
      <c r="O192" s="292"/>
      <c r="P192" s="292"/>
      <c r="Q192" s="292"/>
    </row>
    <row r="193" spans="1:17" ht="30" customHeight="1">
      <c r="D193" s="43" t="s">
        <v>655</v>
      </c>
      <c r="E193" s="129" t="s">
        <v>3</v>
      </c>
      <c r="F193" s="130" t="s">
        <v>3</v>
      </c>
      <c r="G193" s="299"/>
      <c r="H193" s="292" t="s">
        <v>209</v>
      </c>
      <c r="I193" s="292"/>
      <c r="J193" s="292"/>
      <c r="K193" s="292"/>
      <c r="L193" s="292"/>
      <c r="M193" s="292"/>
      <c r="N193" s="292"/>
      <c r="O193" s="292"/>
      <c r="P193" s="292"/>
      <c r="Q193" s="292"/>
    </row>
    <row r="194" spans="1:17" ht="31" customHeight="1">
      <c r="D194" s="43" t="s">
        <v>656</v>
      </c>
      <c r="E194" s="129" t="s">
        <v>3</v>
      </c>
      <c r="F194" s="130" t="s">
        <v>3</v>
      </c>
      <c r="G194" s="299"/>
      <c r="H194" s="292" t="s">
        <v>210</v>
      </c>
      <c r="I194" s="292"/>
      <c r="J194" s="292"/>
      <c r="K194" s="292"/>
      <c r="L194" s="292"/>
      <c r="M194" s="292"/>
      <c r="N194" s="292"/>
      <c r="O194" s="292"/>
      <c r="P194" s="292"/>
      <c r="Q194" s="292"/>
    </row>
    <row r="195" spans="1:17" ht="15.75" customHeight="1" thickBot="1">
      <c r="D195" s="44" t="s">
        <v>657</v>
      </c>
      <c r="E195" s="131" t="s">
        <v>3</v>
      </c>
      <c r="F195" s="132" t="s">
        <v>3</v>
      </c>
      <c r="G195" s="299"/>
      <c r="H195" s="89"/>
      <c r="I195" s="7"/>
      <c r="J195" s="7"/>
      <c r="K195" s="7"/>
      <c r="L195" s="7"/>
    </row>
    <row r="196" spans="1:17">
      <c r="D196" s="133" t="s">
        <v>658</v>
      </c>
      <c r="E196" s="134" t="s">
        <v>659</v>
      </c>
      <c r="F196" s="135" t="s">
        <v>660</v>
      </c>
      <c r="G196" s="45" t="s">
        <v>211</v>
      </c>
      <c r="H196" s="7"/>
      <c r="I196" s="7"/>
      <c r="J196" s="7"/>
      <c r="K196" s="7"/>
      <c r="L196" s="9"/>
    </row>
    <row r="197" spans="1:17" ht="47.5" customHeight="1" thickBot="1">
      <c r="D197" s="136" t="s">
        <v>662</v>
      </c>
      <c r="E197" s="131" t="s">
        <v>3</v>
      </c>
      <c r="F197" s="132" t="s">
        <v>3</v>
      </c>
      <c r="G197" s="45" t="s">
        <v>212</v>
      </c>
      <c r="H197" s="292" t="s">
        <v>59</v>
      </c>
      <c r="I197" s="292"/>
      <c r="J197" s="292"/>
      <c r="K197" s="292"/>
      <c r="L197" s="292"/>
      <c r="M197" s="292"/>
      <c r="N197" s="292"/>
      <c r="O197" s="292"/>
      <c r="P197" s="292"/>
      <c r="Q197" s="292"/>
    </row>
    <row r="198" spans="1:17" ht="16" thickBot="1">
      <c r="D198" s="9"/>
      <c r="E198" s="9"/>
      <c r="F198" s="8"/>
      <c r="G198" s="8"/>
      <c r="H198" s="8"/>
      <c r="I198" s="8"/>
      <c r="J198" s="8"/>
      <c r="K198" s="8"/>
      <c r="L198" s="9"/>
    </row>
    <row r="199" spans="1:17">
      <c r="D199" s="320" t="s">
        <v>213</v>
      </c>
      <c r="E199" s="322"/>
      <c r="F199" s="10"/>
      <c r="G199" s="8"/>
      <c r="H199" s="10"/>
      <c r="I199" s="10"/>
      <c r="J199" s="10"/>
      <c r="K199" s="10"/>
      <c r="L199" s="10"/>
    </row>
    <row r="200" spans="1:17">
      <c r="D200" s="366" t="s">
        <v>663</v>
      </c>
      <c r="E200" s="367"/>
      <c r="F200" s="45" t="s">
        <v>214</v>
      </c>
      <c r="G200" s="89"/>
      <c r="H200" s="89"/>
      <c r="I200" s="7"/>
      <c r="J200" s="7"/>
      <c r="K200" s="7"/>
      <c r="L200" s="9"/>
    </row>
    <row r="201" spans="1:17">
      <c r="D201" s="137" t="s">
        <v>664</v>
      </c>
      <c r="E201" s="41">
        <v>0</v>
      </c>
      <c r="F201" s="45" t="s">
        <v>215</v>
      </c>
      <c r="G201" s="89"/>
      <c r="I201" s="7"/>
      <c r="J201" s="7"/>
      <c r="K201" s="7"/>
      <c r="L201" s="9"/>
    </row>
    <row r="202" spans="1:17">
      <c r="D202" s="137" t="s">
        <v>666</v>
      </c>
      <c r="E202" s="41">
        <v>0</v>
      </c>
      <c r="F202" s="45" t="s">
        <v>216</v>
      </c>
      <c r="G202" s="89"/>
      <c r="I202" s="7"/>
      <c r="J202" s="7"/>
      <c r="K202" s="7"/>
      <c r="L202" s="9"/>
    </row>
    <row r="203" spans="1:17">
      <c r="D203" s="137" t="s">
        <v>667</v>
      </c>
      <c r="E203" s="41">
        <v>0</v>
      </c>
      <c r="F203" s="45" t="s">
        <v>217</v>
      </c>
      <c r="G203" s="89"/>
      <c r="I203" s="7"/>
      <c r="J203" s="7"/>
      <c r="K203" s="7"/>
      <c r="L203" s="9"/>
    </row>
    <row r="204" spans="1:17" ht="16" thickBot="1">
      <c r="D204" s="138" t="s">
        <v>665</v>
      </c>
      <c r="E204" s="139">
        <f>+E201+E202-E203</f>
        <v>0</v>
      </c>
      <c r="F204" s="45" t="s">
        <v>218</v>
      </c>
      <c r="G204" s="89"/>
      <c r="I204" s="7"/>
      <c r="J204" s="7"/>
      <c r="K204" s="7"/>
      <c r="L204" s="9"/>
    </row>
    <row r="205" spans="1:17" ht="16" thickBot="1">
      <c r="D205" s="7"/>
      <c r="E205" s="7"/>
      <c r="F205" s="7"/>
      <c r="G205" s="7"/>
      <c r="H205" s="7"/>
      <c r="I205" s="7"/>
      <c r="J205" s="7"/>
      <c r="K205" s="7"/>
    </row>
    <row r="206" spans="1:17">
      <c r="D206" s="320" t="s">
        <v>219</v>
      </c>
      <c r="E206" s="322" t="s">
        <v>102</v>
      </c>
      <c r="F206" s="5"/>
      <c r="G206" s="5"/>
      <c r="H206" s="5"/>
      <c r="I206" s="5"/>
      <c r="J206" s="5"/>
      <c r="K206" s="5"/>
      <c r="L206" s="5"/>
      <c r="M206" s="5"/>
      <c r="N206" s="5"/>
    </row>
    <row r="207" spans="1:17" ht="31" customHeight="1" thickBot="1">
      <c r="D207" s="140" t="s">
        <v>221</v>
      </c>
      <c r="E207" s="112" t="s">
        <v>650</v>
      </c>
      <c r="F207" s="45" t="s">
        <v>220</v>
      </c>
      <c r="G207" s="328" t="s">
        <v>222</v>
      </c>
      <c r="H207" s="329"/>
      <c r="I207" s="329"/>
      <c r="J207" s="329"/>
      <c r="K207" s="290"/>
      <c r="L207" s="290"/>
      <c r="M207" s="290"/>
      <c r="N207" s="290"/>
      <c r="O207" s="290"/>
      <c r="P207" s="291"/>
    </row>
    <row r="208" spans="1:17">
      <c r="A208" s="9"/>
      <c r="B208" s="9"/>
      <c r="C208" s="9"/>
      <c r="D208" s="320" t="s">
        <v>223</v>
      </c>
      <c r="E208" s="321"/>
      <c r="F208" s="321"/>
      <c r="G208" s="321"/>
      <c r="H208" s="321"/>
      <c r="I208" s="321"/>
      <c r="J208" s="322"/>
      <c r="K208" s="7"/>
      <c r="L208" s="7"/>
      <c r="M208" s="7"/>
      <c r="N208" s="7"/>
    </row>
    <row r="209" spans="1:16" ht="77.5" customHeight="1">
      <c r="A209" s="9"/>
      <c r="B209" s="9"/>
      <c r="C209" s="9"/>
      <c r="D209" s="370" t="s">
        <v>224</v>
      </c>
      <c r="E209" s="368" t="s">
        <v>668</v>
      </c>
      <c r="F209" s="293" t="s">
        <v>669</v>
      </c>
      <c r="G209" s="294"/>
      <c r="H209" s="294"/>
      <c r="I209" s="295"/>
      <c r="J209" s="110" t="s">
        <v>670</v>
      </c>
      <c r="K209" s="299" t="s">
        <v>220</v>
      </c>
      <c r="L209" s="7"/>
      <c r="M209" s="7"/>
      <c r="N209" s="7"/>
    </row>
    <row r="210" spans="1:16" ht="18.5">
      <c r="A210" s="9"/>
      <c r="B210" s="9"/>
      <c r="C210" s="9"/>
      <c r="D210" s="371"/>
      <c r="E210" s="369"/>
      <c r="F210" s="19" t="s">
        <v>226</v>
      </c>
      <c r="G210" s="19" t="s">
        <v>228</v>
      </c>
      <c r="H210" s="19" t="s">
        <v>229</v>
      </c>
      <c r="I210" s="1" t="s">
        <v>230</v>
      </c>
      <c r="J210" s="110"/>
      <c r="K210" s="299"/>
      <c r="L210" s="7"/>
      <c r="M210" s="7"/>
      <c r="N210" s="7"/>
    </row>
    <row r="211" spans="1:16" ht="18.5">
      <c r="A211" s="9"/>
      <c r="B211" s="9"/>
      <c r="C211" s="9"/>
      <c r="D211" s="141" t="s">
        <v>225</v>
      </c>
      <c r="E211" s="42">
        <v>0</v>
      </c>
      <c r="F211" s="42">
        <v>0</v>
      </c>
      <c r="G211" s="42">
        <v>0</v>
      </c>
      <c r="H211" s="42">
        <v>0</v>
      </c>
      <c r="I211" s="42">
        <v>0</v>
      </c>
      <c r="J211" s="41">
        <v>0</v>
      </c>
      <c r="K211" s="299"/>
      <c r="L211" s="7"/>
      <c r="M211" s="7"/>
      <c r="N211" s="7"/>
    </row>
    <row r="212" spans="1:16" ht="18.5">
      <c r="A212" s="9"/>
      <c r="B212" s="9"/>
      <c r="C212" s="9"/>
      <c r="D212" s="141" t="s">
        <v>226</v>
      </c>
      <c r="E212" s="42">
        <v>0</v>
      </c>
      <c r="F212" s="1" t="s">
        <v>227</v>
      </c>
      <c r="G212" s="42">
        <v>0</v>
      </c>
      <c r="H212" s="42">
        <v>0</v>
      </c>
      <c r="I212" s="42">
        <v>0</v>
      </c>
      <c r="J212" s="41">
        <v>0</v>
      </c>
      <c r="K212" s="299"/>
      <c r="L212" s="7"/>
      <c r="M212" s="7"/>
      <c r="N212" s="7"/>
    </row>
    <row r="213" spans="1:16" ht="18.5">
      <c r="A213" s="9"/>
      <c r="B213" s="9"/>
      <c r="C213" s="9"/>
      <c r="D213" s="141" t="s">
        <v>228</v>
      </c>
      <c r="E213" s="42">
        <v>0</v>
      </c>
      <c r="F213" s="1" t="s">
        <v>227</v>
      </c>
      <c r="G213" s="3" t="s">
        <v>227</v>
      </c>
      <c r="H213" s="42">
        <v>0</v>
      </c>
      <c r="I213" s="42">
        <v>0</v>
      </c>
      <c r="J213" s="41">
        <v>0</v>
      </c>
      <c r="K213" s="299"/>
      <c r="L213" s="7"/>
      <c r="M213" s="7"/>
      <c r="N213" s="7"/>
    </row>
    <row r="214" spans="1:16" ht="18.5">
      <c r="A214" s="9"/>
      <c r="B214" s="9"/>
      <c r="C214" s="9"/>
      <c r="D214" s="141" t="s">
        <v>229</v>
      </c>
      <c r="E214" s="42">
        <v>0</v>
      </c>
      <c r="F214" s="1" t="s">
        <v>227</v>
      </c>
      <c r="G214" s="3" t="s">
        <v>227</v>
      </c>
      <c r="H214" s="1" t="s">
        <v>227</v>
      </c>
      <c r="I214" s="42">
        <v>0</v>
      </c>
      <c r="J214" s="41">
        <v>0</v>
      </c>
      <c r="K214" s="299"/>
      <c r="L214" s="7"/>
      <c r="M214" s="7"/>
      <c r="N214" s="7"/>
    </row>
    <row r="215" spans="1:16" ht="15" customHeight="1" thickBot="1">
      <c r="A215" s="9"/>
      <c r="B215" s="9"/>
      <c r="C215" s="9"/>
      <c r="D215" s="25" t="s">
        <v>230</v>
      </c>
      <c r="E215" s="106">
        <v>0</v>
      </c>
      <c r="F215" s="142" t="s">
        <v>227</v>
      </c>
      <c r="G215" s="143" t="s">
        <v>227</v>
      </c>
      <c r="H215" s="142" t="s">
        <v>227</v>
      </c>
      <c r="I215" s="143" t="s">
        <v>227</v>
      </c>
      <c r="J215" s="144" t="s">
        <v>227</v>
      </c>
      <c r="K215" s="299"/>
      <c r="L215" s="7"/>
      <c r="M215" s="7"/>
      <c r="N215" s="7"/>
    </row>
    <row r="216" spans="1:16" ht="16" thickBot="1">
      <c r="A216" s="9"/>
      <c r="B216" s="9"/>
      <c r="C216" s="9"/>
      <c r="D216" s="11"/>
      <c r="E216" s="8"/>
      <c r="F216" s="11"/>
      <c r="G216" s="7"/>
      <c r="H216" s="7"/>
      <c r="I216" s="7"/>
      <c r="J216" s="7"/>
      <c r="K216" s="7"/>
      <c r="L216" s="7"/>
      <c r="M216" s="7"/>
      <c r="N216" s="7"/>
    </row>
    <row r="217" spans="1:16" ht="16" thickBot="1">
      <c r="A217" s="9"/>
      <c r="B217" s="9"/>
      <c r="C217" s="9"/>
      <c r="D217" s="296" t="s">
        <v>231</v>
      </c>
      <c r="E217" s="297"/>
      <c r="F217" s="298"/>
      <c r="G217" s="7"/>
      <c r="H217" s="7"/>
      <c r="I217" s="7"/>
      <c r="J217" s="7"/>
      <c r="K217" s="7"/>
      <c r="L217" s="7"/>
      <c r="M217" s="7"/>
      <c r="N217" s="7"/>
    </row>
    <row r="218" spans="1:16" ht="15" customHeight="1">
      <c r="A218" s="9"/>
      <c r="B218" s="9"/>
      <c r="C218" s="9"/>
      <c r="D218" s="145" t="s">
        <v>671</v>
      </c>
      <c r="E218" s="146" t="s">
        <v>672</v>
      </c>
      <c r="F218" s="135" t="s">
        <v>673</v>
      </c>
      <c r="G218" s="299" t="s">
        <v>232</v>
      </c>
      <c r="H218" s="7"/>
      <c r="I218" s="7"/>
      <c r="J218" s="7"/>
      <c r="K218" s="7"/>
      <c r="L218" s="7"/>
      <c r="M218" s="7"/>
      <c r="N218" s="7"/>
    </row>
    <row r="219" spans="1:16" ht="30" customHeight="1" thickBot="1">
      <c r="A219" s="9"/>
      <c r="B219" s="9"/>
      <c r="C219" s="9"/>
      <c r="D219" s="107">
        <v>0</v>
      </c>
      <c r="E219" s="106">
        <v>0</v>
      </c>
      <c r="F219" s="99">
        <v>0</v>
      </c>
      <c r="G219" s="299"/>
      <c r="H219" s="7"/>
      <c r="I219" s="7"/>
      <c r="J219" s="7"/>
      <c r="K219" s="7"/>
      <c r="L219" s="7"/>
      <c r="M219" s="7"/>
      <c r="N219" s="7"/>
    </row>
    <row r="220" spans="1:16">
      <c r="A220" s="9"/>
      <c r="B220" s="9"/>
      <c r="C220" s="9"/>
      <c r="D220" s="5"/>
      <c r="E220" s="5"/>
      <c r="F220" s="5"/>
      <c r="G220" s="5"/>
      <c r="H220" s="5"/>
      <c r="I220" s="5"/>
      <c r="J220" s="5"/>
      <c r="K220" s="5"/>
      <c r="L220" s="5"/>
      <c r="M220" s="5"/>
      <c r="N220" s="5"/>
    </row>
    <row r="221" spans="1:16" ht="16" thickBot="1">
      <c r="A221" s="9"/>
      <c r="B221" s="9"/>
      <c r="C221" s="9"/>
      <c r="D221" s="5"/>
      <c r="E221" s="5"/>
      <c r="F221" s="5"/>
      <c r="G221" s="5"/>
      <c r="H221" s="5"/>
      <c r="I221" s="5"/>
      <c r="J221" s="5"/>
      <c r="K221" s="5"/>
      <c r="L221" s="5"/>
      <c r="M221" s="5"/>
      <c r="N221" s="5"/>
    </row>
    <row r="222" spans="1:16" ht="33" customHeight="1" thickBot="1">
      <c r="A222" s="9"/>
      <c r="B222" s="9"/>
      <c r="C222" s="9"/>
      <c r="D222" s="353" t="s">
        <v>234</v>
      </c>
      <c r="E222" s="354"/>
      <c r="F222" s="45" t="s">
        <v>233</v>
      </c>
      <c r="G222" s="292" t="s">
        <v>235</v>
      </c>
      <c r="H222" s="292"/>
      <c r="I222" s="292"/>
      <c r="J222" s="292"/>
      <c r="K222" s="292"/>
      <c r="L222" s="292"/>
      <c r="M222" s="292"/>
      <c r="N222" s="292"/>
      <c r="O222" s="292"/>
      <c r="P222" s="292"/>
    </row>
    <row r="223" spans="1:16" ht="15" customHeight="1" thickBot="1">
      <c r="A223" s="9"/>
      <c r="B223" s="9"/>
      <c r="C223" s="9"/>
      <c r="D223" s="296" t="s">
        <v>236</v>
      </c>
      <c r="E223" s="298"/>
      <c r="F223" s="7"/>
      <c r="G223" s="7"/>
      <c r="H223" s="7"/>
      <c r="I223" s="7"/>
      <c r="J223" s="7"/>
      <c r="K223" s="7"/>
      <c r="L223" s="7"/>
      <c r="M223" s="7"/>
      <c r="N223" s="7"/>
    </row>
    <row r="224" spans="1:16">
      <c r="A224" s="84"/>
      <c r="B224" s="9"/>
      <c r="C224" s="9"/>
      <c r="D224" s="12" t="s">
        <v>238</v>
      </c>
      <c r="E224" s="41" t="s">
        <v>650</v>
      </c>
      <c r="F224" s="45" t="s">
        <v>237</v>
      </c>
      <c r="G224" s="18"/>
      <c r="H224" s="18"/>
      <c r="I224" s="18"/>
      <c r="J224" s="18"/>
      <c r="K224" s="18"/>
      <c r="L224" s="18"/>
      <c r="M224" s="18"/>
      <c r="N224" s="18"/>
      <c r="O224" s="18"/>
      <c r="P224" s="18"/>
    </row>
    <row r="225" spans="1:30" ht="16" thickBot="1">
      <c r="A225" s="84"/>
      <c r="B225" s="9"/>
      <c r="C225" s="9"/>
      <c r="D225" s="5"/>
      <c r="E225" s="7"/>
      <c r="F225" s="7"/>
      <c r="G225" s="7"/>
      <c r="H225" s="7"/>
      <c r="I225" s="7"/>
      <c r="J225" s="7"/>
      <c r="K225" s="7"/>
      <c r="L225" s="7"/>
      <c r="M225" s="7"/>
      <c r="N225" s="7"/>
    </row>
    <row r="226" spans="1:30" ht="15.5" customHeight="1">
      <c r="A226" s="84"/>
      <c r="B226" s="9"/>
      <c r="C226" s="9"/>
      <c r="D226" s="320" t="s">
        <v>240</v>
      </c>
      <c r="E226" s="322"/>
      <c r="F226" s="299" t="s">
        <v>239</v>
      </c>
      <c r="G226" s="7"/>
      <c r="H226" s="7"/>
      <c r="I226" s="7"/>
      <c r="J226" s="7"/>
      <c r="K226" s="7"/>
      <c r="L226" s="7"/>
      <c r="M226" s="7"/>
      <c r="N226" s="7"/>
    </row>
    <row r="227" spans="1:30">
      <c r="A227" s="9"/>
      <c r="B227" s="9"/>
      <c r="C227" s="9"/>
      <c r="D227" s="43" t="s">
        <v>241</v>
      </c>
      <c r="E227" s="147" t="s">
        <v>242</v>
      </c>
      <c r="F227" s="299"/>
      <c r="G227" s="7"/>
      <c r="H227" s="7"/>
      <c r="I227" s="7"/>
      <c r="J227" s="7"/>
      <c r="K227" s="7"/>
      <c r="L227" s="7"/>
      <c r="M227" s="7"/>
      <c r="N227" s="7"/>
    </row>
    <row r="228" spans="1:30" ht="21" customHeight="1" thickBot="1">
      <c r="A228" s="84" t="s">
        <v>674</v>
      </c>
      <c r="B228" s="9"/>
      <c r="C228" s="9"/>
      <c r="D228" s="107" t="s">
        <v>3</v>
      </c>
      <c r="E228" s="99" t="s">
        <v>3</v>
      </c>
      <c r="F228" s="299"/>
      <c r="G228" s="89"/>
      <c r="H228" s="7"/>
      <c r="I228" s="7"/>
      <c r="J228" s="7"/>
      <c r="K228" s="7"/>
      <c r="L228" s="7"/>
      <c r="M228" s="7"/>
      <c r="N228" s="7"/>
    </row>
    <row r="229" spans="1:30" ht="16" thickBot="1">
      <c r="A229" s="84" t="s">
        <v>3</v>
      </c>
    </row>
    <row r="230" spans="1:30" ht="16.5" customHeight="1" thickBot="1">
      <c r="A230" s="9"/>
      <c r="B230" s="9"/>
      <c r="C230" s="9"/>
      <c r="D230" s="296" t="s">
        <v>244</v>
      </c>
      <c r="E230" s="297"/>
      <c r="F230" s="297"/>
      <c r="G230" s="297"/>
      <c r="H230" s="297"/>
      <c r="I230" s="297"/>
      <c r="J230" s="297"/>
      <c r="K230" s="297"/>
      <c r="L230" s="297"/>
      <c r="M230" s="298"/>
      <c r="N230" s="45" t="s">
        <v>243</v>
      </c>
    </row>
    <row r="231" spans="1:30" ht="16" thickBot="1">
      <c r="A231" s="9"/>
      <c r="B231" s="9"/>
      <c r="C231" s="9"/>
      <c r="D231" s="303" t="s">
        <v>675</v>
      </c>
      <c r="E231" s="304"/>
      <c r="F231" s="304"/>
      <c r="G231" s="304"/>
      <c r="H231" s="304"/>
      <c r="I231" s="304"/>
      <c r="J231" s="304"/>
      <c r="K231" s="304"/>
      <c r="L231" s="304"/>
      <c r="M231" s="304"/>
    </row>
    <row r="232" spans="1:30" ht="16.5" customHeight="1" thickBot="1">
      <c r="A232" s="9"/>
      <c r="B232" s="9"/>
      <c r="C232" s="9"/>
      <c r="D232" s="156" t="s">
        <v>247</v>
      </c>
      <c r="E232" s="159" t="str">
        <f>+'1 MNE Group Information'!E40</f>
        <v>Nord Stream AG (PE Russia)</v>
      </c>
      <c r="F232" s="159"/>
      <c r="G232" s="159"/>
      <c r="H232" s="159"/>
      <c r="I232" s="159"/>
      <c r="J232" s="159"/>
      <c r="K232" s="159"/>
      <c r="L232" s="160"/>
      <c r="M232" s="157" t="s">
        <v>676</v>
      </c>
      <c r="N232" s="45" t="s">
        <v>245</v>
      </c>
      <c r="O232" s="45" t="s">
        <v>246</v>
      </c>
    </row>
    <row r="233" spans="1:30" ht="16.5" customHeight="1">
      <c r="A233" s="9"/>
      <c r="B233" s="9"/>
      <c r="C233" s="9"/>
      <c r="D233" s="153" t="s">
        <v>249</v>
      </c>
      <c r="E233" s="154">
        <f>+E271</f>
        <v>23457</v>
      </c>
      <c r="F233" s="154">
        <f t="shared" ref="F233:L233" si="3">+F271</f>
        <v>0</v>
      </c>
      <c r="G233" s="154">
        <f t="shared" si="3"/>
        <v>0</v>
      </c>
      <c r="H233" s="154">
        <f t="shared" si="3"/>
        <v>0</v>
      </c>
      <c r="I233" s="154">
        <f t="shared" si="3"/>
        <v>0</v>
      </c>
      <c r="J233" s="154">
        <f t="shared" si="3"/>
        <v>0</v>
      </c>
      <c r="K233" s="154">
        <f t="shared" si="3"/>
        <v>0</v>
      </c>
      <c r="L233" s="154">
        <f t="shared" si="3"/>
        <v>0</v>
      </c>
      <c r="M233" s="155">
        <f>SUM(E233:L233)</f>
        <v>23457</v>
      </c>
      <c r="N233" s="45" t="s">
        <v>19</v>
      </c>
      <c r="O233" s="45" t="s">
        <v>248</v>
      </c>
    </row>
    <row r="234" spans="1:30" ht="16.5" customHeight="1">
      <c r="A234" s="9"/>
      <c r="B234" s="9"/>
      <c r="C234" s="9"/>
      <c r="D234" s="300" t="s">
        <v>697</v>
      </c>
      <c r="E234" s="301"/>
      <c r="F234" s="301"/>
      <c r="G234" s="301"/>
      <c r="H234" s="301"/>
      <c r="I234" s="301"/>
      <c r="J234" s="301"/>
      <c r="K234" s="301"/>
      <c r="L234" s="301"/>
      <c r="M234" s="302"/>
      <c r="N234" s="45" t="s">
        <v>137</v>
      </c>
      <c r="O234" s="45"/>
    </row>
    <row r="235" spans="1:30" ht="84" customHeight="1">
      <c r="A235" s="9"/>
      <c r="B235" s="9"/>
      <c r="C235" s="9"/>
      <c r="D235" s="23" t="s">
        <v>484</v>
      </c>
      <c r="E235" s="42">
        <v>23456</v>
      </c>
      <c r="F235" s="42">
        <v>0</v>
      </c>
      <c r="G235" s="42">
        <v>0</v>
      </c>
      <c r="H235" s="42">
        <v>0</v>
      </c>
      <c r="I235" s="42">
        <v>0</v>
      </c>
      <c r="J235" s="42">
        <v>0</v>
      </c>
      <c r="K235" s="42">
        <v>0</v>
      </c>
      <c r="L235" s="42">
        <v>0</v>
      </c>
      <c r="M235" s="150">
        <f t="shared" ref="M235:M260" si="4">SUM(E235:L235)</f>
        <v>23456</v>
      </c>
      <c r="N235" s="45" t="s">
        <v>23</v>
      </c>
      <c r="O235" s="45" t="s">
        <v>677</v>
      </c>
      <c r="P235" s="289" t="s">
        <v>251</v>
      </c>
      <c r="Q235" s="290"/>
      <c r="R235" s="290"/>
      <c r="S235" s="290"/>
      <c r="T235" s="290"/>
      <c r="U235" s="290"/>
      <c r="V235" s="290"/>
      <c r="W235" s="290"/>
      <c r="X235" s="290"/>
      <c r="Y235" s="290"/>
      <c r="Z235" s="290"/>
      <c r="AA235" s="290"/>
      <c r="AB235" s="290"/>
      <c r="AC235" s="290"/>
      <c r="AD235" s="291"/>
    </row>
    <row r="236" spans="1:30" ht="31.5" customHeight="1">
      <c r="A236" s="9"/>
      <c r="B236" s="9"/>
      <c r="C236" s="9"/>
      <c r="D236" s="93" t="s">
        <v>485</v>
      </c>
      <c r="E236" s="42">
        <v>0</v>
      </c>
      <c r="F236" s="42">
        <v>0</v>
      </c>
      <c r="G236" s="42">
        <v>0</v>
      </c>
      <c r="H236" s="42">
        <v>0</v>
      </c>
      <c r="I236" s="42">
        <v>0</v>
      </c>
      <c r="J236" s="42">
        <v>0</v>
      </c>
      <c r="K236" s="42">
        <v>0</v>
      </c>
      <c r="L236" s="42">
        <v>0</v>
      </c>
      <c r="M236" s="150">
        <f t="shared" si="4"/>
        <v>0</v>
      </c>
      <c r="N236" s="45" t="s">
        <v>24</v>
      </c>
      <c r="O236" s="45" t="s">
        <v>678</v>
      </c>
      <c r="P236" s="289" t="s">
        <v>252</v>
      </c>
      <c r="Q236" s="290"/>
      <c r="R236" s="290"/>
      <c r="S236" s="290"/>
      <c r="T236" s="290"/>
      <c r="U236" s="290"/>
      <c r="V236" s="290"/>
      <c r="W236" s="290"/>
      <c r="X236" s="290"/>
      <c r="Y236" s="290"/>
      <c r="Z236" s="290"/>
      <c r="AA236" s="290"/>
      <c r="AB236" s="290"/>
      <c r="AC236" s="290"/>
      <c r="AD236" s="291"/>
    </row>
    <row r="237" spans="1:30" ht="34.5" customHeight="1">
      <c r="A237" s="9"/>
      <c r="B237" s="9"/>
      <c r="C237" s="9"/>
      <c r="D237" s="93" t="s">
        <v>486</v>
      </c>
      <c r="E237" s="42">
        <v>0</v>
      </c>
      <c r="F237" s="42">
        <v>0</v>
      </c>
      <c r="G237" s="42">
        <v>0</v>
      </c>
      <c r="H237" s="42">
        <v>0</v>
      </c>
      <c r="I237" s="42">
        <v>0</v>
      </c>
      <c r="J237" s="42">
        <v>0</v>
      </c>
      <c r="K237" s="42">
        <v>0</v>
      </c>
      <c r="L237" s="42">
        <v>0</v>
      </c>
      <c r="M237" s="150">
        <f t="shared" si="4"/>
        <v>0</v>
      </c>
      <c r="N237" s="45" t="s">
        <v>25</v>
      </c>
      <c r="O237" s="45" t="s">
        <v>679</v>
      </c>
      <c r="P237" s="289" t="s">
        <v>253</v>
      </c>
      <c r="Q237" s="290"/>
      <c r="R237" s="290"/>
      <c r="S237" s="290"/>
      <c r="T237" s="290"/>
      <c r="U237" s="290"/>
      <c r="V237" s="290"/>
      <c r="W237" s="290"/>
      <c r="X237" s="290"/>
      <c r="Y237" s="290"/>
      <c r="Z237" s="290"/>
      <c r="AA237" s="290"/>
      <c r="AB237" s="290"/>
      <c r="AC237" s="290"/>
      <c r="AD237" s="291"/>
    </row>
    <row r="238" spans="1:30" ht="16.5" customHeight="1">
      <c r="A238" s="9"/>
      <c r="B238" s="9"/>
      <c r="C238" s="9"/>
      <c r="D238" s="93" t="s">
        <v>487</v>
      </c>
      <c r="E238" s="42">
        <v>0</v>
      </c>
      <c r="F238" s="42">
        <v>0</v>
      </c>
      <c r="G238" s="42">
        <v>0</v>
      </c>
      <c r="H238" s="42">
        <v>0</v>
      </c>
      <c r="I238" s="42">
        <v>0</v>
      </c>
      <c r="J238" s="42">
        <v>0</v>
      </c>
      <c r="K238" s="42">
        <v>0</v>
      </c>
      <c r="L238" s="42">
        <v>0</v>
      </c>
      <c r="M238" s="150">
        <f t="shared" si="4"/>
        <v>0</v>
      </c>
      <c r="N238" s="45" t="s">
        <v>26</v>
      </c>
      <c r="O238" s="45" t="s">
        <v>680</v>
      </c>
      <c r="P238" s="289" t="s">
        <v>254</v>
      </c>
      <c r="Q238" s="290"/>
      <c r="R238" s="290"/>
      <c r="S238" s="290"/>
      <c r="T238" s="290"/>
      <c r="U238" s="290"/>
      <c r="V238" s="290"/>
      <c r="W238" s="290"/>
      <c r="X238" s="290"/>
      <c r="Y238" s="290"/>
      <c r="Z238" s="290"/>
      <c r="AA238" s="290"/>
      <c r="AB238" s="290"/>
      <c r="AC238" s="290"/>
      <c r="AD238" s="291"/>
    </row>
    <row r="239" spans="1:30" ht="36" customHeight="1">
      <c r="A239" s="9"/>
      <c r="B239" s="9"/>
      <c r="C239" s="9"/>
      <c r="D239" s="93" t="s">
        <v>488</v>
      </c>
      <c r="E239" s="42">
        <v>0</v>
      </c>
      <c r="F239" s="42">
        <v>0</v>
      </c>
      <c r="G239" s="42">
        <v>0</v>
      </c>
      <c r="H239" s="42">
        <v>0</v>
      </c>
      <c r="I239" s="42">
        <v>0</v>
      </c>
      <c r="J239" s="42">
        <v>0</v>
      </c>
      <c r="K239" s="42">
        <v>0</v>
      </c>
      <c r="L239" s="42">
        <v>0</v>
      </c>
      <c r="M239" s="150">
        <f t="shared" si="4"/>
        <v>0</v>
      </c>
      <c r="N239" s="45" t="s">
        <v>27</v>
      </c>
      <c r="O239" s="45" t="s">
        <v>255</v>
      </c>
      <c r="P239" s="289" t="s">
        <v>256</v>
      </c>
      <c r="Q239" s="290"/>
      <c r="R239" s="290"/>
      <c r="S239" s="290"/>
      <c r="T239" s="290"/>
      <c r="U239" s="290"/>
      <c r="V239" s="290"/>
      <c r="W239" s="290"/>
      <c r="X239" s="290"/>
      <c r="Y239" s="290"/>
      <c r="Z239" s="290"/>
      <c r="AA239" s="290"/>
      <c r="AB239" s="290"/>
      <c r="AC239" s="290"/>
      <c r="AD239" s="291"/>
    </row>
    <row r="240" spans="1:30" ht="36" customHeight="1">
      <c r="A240" s="9"/>
      <c r="B240" s="9"/>
      <c r="C240" s="9"/>
      <c r="D240" s="93" t="s">
        <v>489</v>
      </c>
      <c r="E240" s="42">
        <v>0</v>
      </c>
      <c r="F240" s="42">
        <v>0</v>
      </c>
      <c r="G240" s="42">
        <v>0</v>
      </c>
      <c r="H240" s="42">
        <v>0</v>
      </c>
      <c r="I240" s="42">
        <v>0</v>
      </c>
      <c r="J240" s="42">
        <v>0</v>
      </c>
      <c r="K240" s="42">
        <v>0</v>
      </c>
      <c r="L240" s="42">
        <v>0</v>
      </c>
      <c r="M240" s="150">
        <f t="shared" si="4"/>
        <v>0</v>
      </c>
      <c r="N240" s="45" t="s">
        <v>28</v>
      </c>
      <c r="O240" s="45" t="s">
        <v>681</v>
      </c>
      <c r="P240" s="289" t="s">
        <v>257</v>
      </c>
      <c r="Q240" s="290"/>
      <c r="R240" s="290"/>
      <c r="S240" s="290"/>
      <c r="T240" s="290"/>
      <c r="U240" s="290"/>
      <c r="V240" s="290"/>
      <c r="W240" s="290"/>
      <c r="X240" s="290"/>
      <c r="Y240" s="290"/>
      <c r="Z240" s="290"/>
      <c r="AA240" s="290"/>
      <c r="AB240" s="290"/>
      <c r="AC240" s="290"/>
      <c r="AD240" s="291"/>
    </row>
    <row r="241" spans="1:30" ht="101" customHeight="1">
      <c r="A241" s="9"/>
      <c r="B241" s="9"/>
      <c r="C241" s="9"/>
      <c r="D241" s="93" t="s">
        <v>490</v>
      </c>
      <c r="E241" s="42">
        <v>0</v>
      </c>
      <c r="F241" s="42">
        <v>0</v>
      </c>
      <c r="G241" s="42">
        <v>0</v>
      </c>
      <c r="H241" s="42">
        <v>0</v>
      </c>
      <c r="I241" s="42">
        <v>0</v>
      </c>
      <c r="J241" s="42">
        <v>0</v>
      </c>
      <c r="K241" s="42">
        <v>0</v>
      </c>
      <c r="L241" s="42">
        <v>0</v>
      </c>
      <c r="M241" s="150">
        <f t="shared" si="4"/>
        <v>0</v>
      </c>
      <c r="N241" s="45" t="s">
        <v>29</v>
      </c>
      <c r="O241" s="45" t="s">
        <v>682</v>
      </c>
      <c r="P241" s="289" t="s">
        <v>258</v>
      </c>
      <c r="Q241" s="290"/>
      <c r="R241" s="290"/>
      <c r="S241" s="290"/>
      <c r="T241" s="290"/>
      <c r="U241" s="290"/>
      <c r="V241" s="290"/>
      <c r="W241" s="290"/>
      <c r="X241" s="290"/>
      <c r="Y241" s="290"/>
      <c r="Z241" s="290"/>
      <c r="AA241" s="290"/>
      <c r="AB241" s="290"/>
      <c r="AC241" s="290"/>
      <c r="AD241" s="291"/>
    </row>
    <row r="242" spans="1:30" ht="16.5" customHeight="1">
      <c r="A242" s="9"/>
      <c r="B242" s="9"/>
      <c r="C242" s="9"/>
      <c r="D242" s="93" t="s">
        <v>491</v>
      </c>
      <c r="E242" s="42">
        <v>0</v>
      </c>
      <c r="F242" s="42">
        <v>0</v>
      </c>
      <c r="G242" s="42">
        <v>0</v>
      </c>
      <c r="H242" s="42">
        <v>0</v>
      </c>
      <c r="I242" s="42">
        <v>0</v>
      </c>
      <c r="J242" s="42">
        <v>0</v>
      </c>
      <c r="K242" s="42">
        <v>0</v>
      </c>
      <c r="L242" s="42">
        <v>0</v>
      </c>
      <c r="M242" s="150">
        <f t="shared" si="4"/>
        <v>0</v>
      </c>
      <c r="N242" s="45" t="s">
        <v>30</v>
      </c>
      <c r="O242" s="45" t="s">
        <v>683</v>
      </c>
      <c r="P242" s="289" t="s">
        <v>259</v>
      </c>
      <c r="Q242" s="290"/>
      <c r="R242" s="290"/>
      <c r="S242" s="290"/>
      <c r="T242" s="290"/>
      <c r="U242" s="290"/>
      <c r="V242" s="290"/>
      <c r="W242" s="290"/>
      <c r="X242" s="290"/>
      <c r="Y242" s="290"/>
      <c r="Z242" s="290"/>
      <c r="AA242" s="290"/>
      <c r="AB242" s="290"/>
      <c r="AC242" s="290"/>
      <c r="AD242" s="291"/>
    </row>
    <row r="243" spans="1:30" ht="16.5" customHeight="1">
      <c r="A243" s="9"/>
      <c r="B243" s="9"/>
      <c r="C243" s="9"/>
      <c r="D243" s="93" t="s">
        <v>492</v>
      </c>
      <c r="E243" s="42">
        <v>0</v>
      </c>
      <c r="F243" s="42">
        <v>0</v>
      </c>
      <c r="G243" s="42">
        <v>0</v>
      </c>
      <c r="H243" s="42">
        <v>0</v>
      </c>
      <c r="I243" s="42">
        <v>0</v>
      </c>
      <c r="J243" s="42">
        <v>0</v>
      </c>
      <c r="K243" s="42">
        <v>0</v>
      </c>
      <c r="L243" s="42">
        <v>0</v>
      </c>
      <c r="M243" s="150">
        <f t="shared" si="4"/>
        <v>0</v>
      </c>
      <c r="N243" s="45" t="s">
        <v>31</v>
      </c>
      <c r="O243" s="45" t="s">
        <v>684</v>
      </c>
      <c r="P243" s="289" t="s">
        <v>260</v>
      </c>
      <c r="Q243" s="290"/>
      <c r="R243" s="290"/>
      <c r="S243" s="290"/>
      <c r="T243" s="290"/>
      <c r="U243" s="290"/>
      <c r="V243" s="290"/>
      <c r="W243" s="290"/>
      <c r="X243" s="290"/>
      <c r="Y243" s="290"/>
      <c r="Z243" s="290"/>
      <c r="AA243" s="290"/>
      <c r="AB243" s="290"/>
      <c r="AC243" s="290"/>
      <c r="AD243" s="291"/>
    </row>
    <row r="244" spans="1:30" ht="29.5" customHeight="1">
      <c r="A244" s="9"/>
      <c r="B244" s="9"/>
      <c r="C244" s="9"/>
      <c r="D244" s="93" t="s">
        <v>493</v>
      </c>
      <c r="E244" s="42">
        <v>0</v>
      </c>
      <c r="F244" s="42">
        <v>0</v>
      </c>
      <c r="G244" s="42">
        <v>0</v>
      </c>
      <c r="H244" s="42">
        <v>0</v>
      </c>
      <c r="I244" s="42">
        <v>0</v>
      </c>
      <c r="J244" s="42">
        <v>0</v>
      </c>
      <c r="K244" s="42">
        <v>0</v>
      </c>
      <c r="L244" s="42">
        <v>0</v>
      </c>
      <c r="M244" s="150">
        <f t="shared" si="4"/>
        <v>0</v>
      </c>
      <c r="N244" s="45" t="s">
        <v>32</v>
      </c>
      <c r="O244" s="45" t="s">
        <v>685</v>
      </c>
      <c r="P244" s="289" t="s">
        <v>261</v>
      </c>
      <c r="Q244" s="290"/>
      <c r="R244" s="290"/>
      <c r="S244" s="290"/>
      <c r="T244" s="290"/>
      <c r="U244" s="290"/>
      <c r="V244" s="290"/>
      <c r="W244" s="290"/>
      <c r="X244" s="290"/>
      <c r="Y244" s="290"/>
      <c r="Z244" s="290"/>
      <c r="AA244" s="290"/>
      <c r="AB244" s="290"/>
      <c r="AC244" s="290"/>
      <c r="AD244" s="291"/>
    </row>
    <row r="245" spans="1:30" ht="33.5" customHeight="1">
      <c r="A245" s="9"/>
      <c r="B245" s="9"/>
      <c r="C245" s="9"/>
      <c r="D245" s="93" t="s">
        <v>494</v>
      </c>
      <c r="E245" s="42">
        <v>0</v>
      </c>
      <c r="F245" s="42">
        <v>0</v>
      </c>
      <c r="G245" s="42">
        <v>0</v>
      </c>
      <c r="H245" s="42">
        <v>0</v>
      </c>
      <c r="I245" s="42">
        <v>0</v>
      </c>
      <c r="J245" s="42">
        <v>0</v>
      </c>
      <c r="K245" s="42">
        <v>0</v>
      </c>
      <c r="L245" s="42">
        <v>0</v>
      </c>
      <c r="M245" s="150">
        <f t="shared" si="4"/>
        <v>0</v>
      </c>
      <c r="N245" s="45" t="s">
        <v>33</v>
      </c>
      <c r="O245" s="45" t="s">
        <v>686</v>
      </c>
      <c r="P245" s="289" t="s">
        <v>262</v>
      </c>
      <c r="Q245" s="290"/>
      <c r="R245" s="290"/>
      <c r="S245" s="290"/>
      <c r="T245" s="290"/>
      <c r="U245" s="290"/>
      <c r="V245" s="290"/>
      <c r="W245" s="290"/>
      <c r="X245" s="290"/>
      <c r="Y245" s="290"/>
      <c r="Z245" s="290"/>
      <c r="AA245" s="290"/>
      <c r="AB245" s="290"/>
      <c r="AC245" s="290"/>
      <c r="AD245" s="291"/>
    </row>
    <row r="246" spans="1:30" ht="16.5" customHeight="1">
      <c r="A246" s="9"/>
      <c r="B246" s="9"/>
      <c r="C246" s="9"/>
      <c r="D246" s="93" t="s">
        <v>496</v>
      </c>
      <c r="E246" s="42">
        <v>0</v>
      </c>
      <c r="F246" s="42">
        <v>0</v>
      </c>
      <c r="G246" s="42">
        <v>0</v>
      </c>
      <c r="H246" s="42">
        <v>0</v>
      </c>
      <c r="I246" s="42">
        <v>0</v>
      </c>
      <c r="J246" s="42">
        <v>0</v>
      </c>
      <c r="K246" s="42">
        <v>0</v>
      </c>
      <c r="L246" s="42">
        <v>0</v>
      </c>
      <c r="M246" s="150">
        <f t="shared" si="4"/>
        <v>0</v>
      </c>
      <c r="N246" s="45" t="s">
        <v>34</v>
      </c>
      <c r="O246" s="45" t="s">
        <v>687</v>
      </c>
      <c r="P246" s="14"/>
    </row>
    <row r="247" spans="1:30" ht="16.5" customHeight="1">
      <c r="A247" s="9"/>
      <c r="B247" s="9"/>
      <c r="C247" s="9"/>
      <c r="D247" s="93" t="s">
        <v>495</v>
      </c>
      <c r="E247" s="42">
        <v>0</v>
      </c>
      <c r="F247" s="42">
        <v>0</v>
      </c>
      <c r="G247" s="42">
        <v>0</v>
      </c>
      <c r="H247" s="42">
        <v>0</v>
      </c>
      <c r="I247" s="42">
        <v>0</v>
      </c>
      <c r="J247" s="42">
        <v>0</v>
      </c>
      <c r="K247" s="42">
        <v>0</v>
      </c>
      <c r="L247" s="42">
        <v>0</v>
      </c>
      <c r="M247" s="150">
        <f t="shared" si="4"/>
        <v>0</v>
      </c>
      <c r="N247" s="45" t="s">
        <v>35</v>
      </c>
      <c r="O247" s="45" t="s">
        <v>264</v>
      </c>
      <c r="P247" s="289" t="s">
        <v>265</v>
      </c>
      <c r="Q247" s="290"/>
      <c r="R247" s="290"/>
      <c r="S247" s="290"/>
      <c r="T247" s="290"/>
      <c r="U247" s="290"/>
      <c r="V247" s="290"/>
      <c r="W247" s="290"/>
      <c r="X247" s="290"/>
      <c r="Y247" s="290"/>
      <c r="Z247" s="290"/>
      <c r="AA247" s="290"/>
      <c r="AB247" s="290"/>
      <c r="AC247" s="290"/>
      <c r="AD247" s="291"/>
    </row>
    <row r="248" spans="1:30" ht="33" customHeight="1">
      <c r="A248" s="9"/>
      <c r="B248" s="9"/>
      <c r="C248" s="9"/>
      <c r="D248" s="93" t="s">
        <v>698</v>
      </c>
      <c r="E248" s="42">
        <v>0</v>
      </c>
      <c r="F248" s="42">
        <v>0</v>
      </c>
      <c r="G248" s="42">
        <v>0</v>
      </c>
      <c r="H248" s="42">
        <v>0</v>
      </c>
      <c r="I248" s="42">
        <v>0</v>
      </c>
      <c r="J248" s="42">
        <v>0</v>
      </c>
      <c r="K248" s="42">
        <v>0</v>
      </c>
      <c r="L248" s="42">
        <v>0</v>
      </c>
      <c r="M248" s="150">
        <f t="shared" si="4"/>
        <v>0</v>
      </c>
      <c r="N248" s="45" t="s">
        <v>36</v>
      </c>
      <c r="O248" s="45" t="s">
        <v>266</v>
      </c>
      <c r="P248" s="289" t="s">
        <v>267</v>
      </c>
      <c r="Q248" s="290"/>
      <c r="R248" s="290"/>
      <c r="S248" s="290"/>
      <c r="T248" s="290"/>
      <c r="U248" s="290"/>
      <c r="V248" s="290"/>
      <c r="W248" s="290"/>
      <c r="X248" s="290"/>
      <c r="Y248" s="290"/>
      <c r="Z248" s="290"/>
      <c r="AA248" s="290"/>
      <c r="AB248" s="290"/>
      <c r="AC248" s="290"/>
      <c r="AD248" s="291"/>
    </row>
    <row r="249" spans="1:30" ht="16.5" customHeight="1">
      <c r="A249" s="9"/>
      <c r="B249" s="9"/>
      <c r="C249" s="9"/>
      <c r="D249" s="93" t="s">
        <v>498</v>
      </c>
      <c r="E249" s="42">
        <v>0</v>
      </c>
      <c r="F249" s="42">
        <v>0</v>
      </c>
      <c r="G249" s="42">
        <v>0</v>
      </c>
      <c r="H249" s="42">
        <v>0</v>
      </c>
      <c r="I249" s="42">
        <v>0</v>
      </c>
      <c r="J249" s="42">
        <v>0</v>
      </c>
      <c r="K249" s="42">
        <v>0</v>
      </c>
      <c r="L249" s="42">
        <v>0</v>
      </c>
      <c r="M249" s="150">
        <f t="shared" si="4"/>
        <v>0</v>
      </c>
      <c r="N249" s="45" t="s">
        <v>37</v>
      </c>
      <c r="O249" s="45" t="s">
        <v>688</v>
      </c>
      <c r="P249" s="14"/>
    </row>
    <row r="250" spans="1:30" ht="16.5" customHeight="1">
      <c r="A250" s="9"/>
      <c r="B250" s="9"/>
      <c r="C250" s="9"/>
      <c r="D250" s="93" t="s">
        <v>499</v>
      </c>
      <c r="E250" s="42">
        <v>0</v>
      </c>
      <c r="F250" s="42">
        <v>0</v>
      </c>
      <c r="G250" s="42">
        <v>0</v>
      </c>
      <c r="H250" s="42">
        <v>0</v>
      </c>
      <c r="I250" s="42">
        <v>0</v>
      </c>
      <c r="J250" s="42">
        <v>0</v>
      </c>
      <c r="K250" s="42">
        <v>0</v>
      </c>
      <c r="L250" s="42">
        <v>0</v>
      </c>
      <c r="M250" s="150">
        <f t="shared" si="4"/>
        <v>0</v>
      </c>
      <c r="N250" s="45" t="s">
        <v>38</v>
      </c>
      <c r="O250" s="45" t="s">
        <v>689</v>
      </c>
      <c r="P250" s="14"/>
    </row>
    <row r="251" spans="1:30" ht="36" customHeight="1">
      <c r="A251" s="9"/>
      <c r="B251" s="9"/>
      <c r="C251" s="9"/>
      <c r="D251" s="93" t="s">
        <v>500</v>
      </c>
      <c r="E251" s="42">
        <v>0</v>
      </c>
      <c r="F251" s="42">
        <v>0</v>
      </c>
      <c r="G251" s="42">
        <v>0</v>
      </c>
      <c r="H251" s="42">
        <v>0</v>
      </c>
      <c r="I251" s="42">
        <v>0</v>
      </c>
      <c r="J251" s="42">
        <v>0</v>
      </c>
      <c r="K251" s="42">
        <v>0</v>
      </c>
      <c r="L251" s="42">
        <v>0</v>
      </c>
      <c r="M251" s="150">
        <f t="shared" si="4"/>
        <v>0</v>
      </c>
      <c r="N251" s="45" t="s">
        <v>39</v>
      </c>
      <c r="O251" s="45" t="s">
        <v>690</v>
      </c>
      <c r="P251" s="289" t="s">
        <v>268</v>
      </c>
      <c r="Q251" s="290"/>
      <c r="R251" s="290"/>
      <c r="S251" s="290"/>
      <c r="T251" s="290"/>
      <c r="U251" s="290"/>
      <c r="V251" s="290"/>
      <c r="W251" s="290"/>
      <c r="X251" s="290"/>
      <c r="Y251" s="290"/>
      <c r="Z251" s="290"/>
      <c r="AA251" s="290"/>
      <c r="AB251" s="290"/>
      <c r="AC251" s="290"/>
      <c r="AD251" s="291"/>
    </row>
    <row r="252" spans="1:30" ht="30" customHeight="1">
      <c r="A252" s="9"/>
      <c r="B252" s="9"/>
      <c r="C252" s="9"/>
      <c r="D252" s="93" t="s">
        <v>501</v>
      </c>
      <c r="E252" s="42">
        <v>0</v>
      </c>
      <c r="F252" s="42">
        <v>0</v>
      </c>
      <c r="G252" s="42">
        <v>0</v>
      </c>
      <c r="H252" s="42">
        <v>0</v>
      </c>
      <c r="I252" s="42">
        <v>0</v>
      </c>
      <c r="J252" s="42">
        <v>0</v>
      </c>
      <c r="K252" s="42">
        <v>0</v>
      </c>
      <c r="L252" s="42">
        <v>0</v>
      </c>
      <c r="M252" s="150">
        <f t="shared" si="4"/>
        <v>0</v>
      </c>
      <c r="N252" s="45" t="s">
        <v>40</v>
      </c>
      <c r="O252" s="45" t="s">
        <v>691</v>
      </c>
      <c r="P252" s="289" t="s">
        <v>269</v>
      </c>
      <c r="Q252" s="290"/>
      <c r="R252" s="290"/>
      <c r="S252" s="290"/>
      <c r="T252" s="290"/>
      <c r="U252" s="290"/>
      <c r="V252" s="290"/>
      <c r="W252" s="290"/>
      <c r="X252" s="290"/>
      <c r="Y252" s="290"/>
      <c r="Z252" s="290"/>
      <c r="AA252" s="290"/>
      <c r="AB252" s="290"/>
      <c r="AC252" s="290"/>
      <c r="AD252" s="291"/>
    </row>
    <row r="253" spans="1:30" ht="16.5" customHeight="1">
      <c r="A253" s="9"/>
      <c r="B253" s="9"/>
      <c r="C253" s="9"/>
      <c r="D253" s="93" t="s">
        <v>502</v>
      </c>
      <c r="E253" s="42">
        <v>0</v>
      </c>
      <c r="F253" s="42">
        <v>0</v>
      </c>
      <c r="G253" s="42">
        <v>0</v>
      </c>
      <c r="H253" s="42">
        <v>0</v>
      </c>
      <c r="I253" s="42">
        <v>0</v>
      </c>
      <c r="J253" s="42">
        <v>0</v>
      </c>
      <c r="K253" s="42">
        <v>0</v>
      </c>
      <c r="L253" s="42">
        <v>0</v>
      </c>
      <c r="M253" s="150">
        <f t="shared" si="4"/>
        <v>0</v>
      </c>
      <c r="N253" s="45" t="s">
        <v>41</v>
      </c>
      <c r="O253" s="45" t="s">
        <v>692</v>
      </c>
      <c r="P253" s="289" t="s">
        <v>270</v>
      </c>
      <c r="Q253" s="290"/>
      <c r="R253" s="290"/>
      <c r="S253" s="290"/>
      <c r="T253" s="290"/>
      <c r="U253" s="290"/>
      <c r="V253" s="290"/>
      <c r="W253" s="290"/>
      <c r="X253" s="290"/>
      <c r="Y253" s="290"/>
      <c r="Z253" s="290"/>
      <c r="AA253" s="290"/>
      <c r="AB253" s="290"/>
      <c r="AC253" s="290"/>
      <c r="AD253" s="291"/>
    </row>
    <row r="254" spans="1:30" ht="31" customHeight="1">
      <c r="A254" s="9"/>
      <c r="B254" s="9"/>
      <c r="C254" s="9"/>
      <c r="D254" s="141" t="s">
        <v>503</v>
      </c>
      <c r="E254" s="42">
        <v>0</v>
      </c>
      <c r="F254" s="42">
        <v>0</v>
      </c>
      <c r="G254" s="42">
        <v>0</v>
      </c>
      <c r="H254" s="42">
        <v>0</v>
      </c>
      <c r="I254" s="42">
        <v>0</v>
      </c>
      <c r="J254" s="42">
        <v>0</v>
      </c>
      <c r="K254" s="42">
        <v>0</v>
      </c>
      <c r="L254" s="42">
        <v>0</v>
      </c>
      <c r="M254" s="150">
        <f t="shared" si="4"/>
        <v>0</v>
      </c>
      <c r="N254" s="45" t="s">
        <v>42</v>
      </c>
      <c r="O254" s="45" t="s">
        <v>693</v>
      </c>
      <c r="P254" s="289" t="s">
        <v>271</v>
      </c>
      <c r="Q254" s="290"/>
      <c r="R254" s="290"/>
      <c r="S254" s="290"/>
      <c r="T254" s="290"/>
      <c r="U254" s="290"/>
      <c r="V254" s="290"/>
      <c r="W254" s="290"/>
      <c r="X254" s="290"/>
      <c r="Y254" s="290"/>
      <c r="Z254" s="290"/>
      <c r="AA254" s="290"/>
      <c r="AB254" s="290"/>
      <c r="AC254" s="290"/>
      <c r="AD254" s="291"/>
    </row>
    <row r="255" spans="1:30" ht="33.5" customHeight="1">
      <c r="A255" s="9"/>
      <c r="B255" s="9"/>
      <c r="C255" s="9"/>
      <c r="D255" s="93" t="s">
        <v>504</v>
      </c>
      <c r="E255" s="42">
        <v>0</v>
      </c>
      <c r="F255" s="42">
        <v>0</v>
      </c>
      <c r="G255" s="42">
        <v>0</v>
      </c>
      <c r="H255" s="42">
        <v>0</v>
      </c>
      <c r="I255" s="42">
        <v>0</v>
      </c>
      <c r="J255" s="42">
        <v>0</v>
      </c>
      <c r="K255" s="42">
        <v>0</v>
      </c>
      <c r="L255" s="42">
        <v>0</v>
      </c>
      <c r="M255" s="150">
        <f t="shared" si="4"/>
        <v>0</v>
      </c>
      <c r="N255" s="45" t="s">
        <v>43</v>
      </c>
      <c r="O255" s="45" t="s">
        <v>272</v>
      </c>
      <c r="P255" s="289" t="s">
        <v>273</v>
      </c>
      <c r="Q255" s="290"/>
      <c r="R255" s="290"/>
      <c r="S255" s="290"/>
      <c r="T255" s="290"/>
      <c r="U255" s="290"/>
      <c r="V255" s="290"/>
      <c r="W255" s="290"/>
      <c r="X255" s="290"/>
      <c r="Y255" s="290"/>
      <c r="Z255" s="290"/>
      <c r="AA255" s="290"/>
      <c r="AB255" s="290"/>
      <c r="AC255" s="290"/>
      <c r="AD255" s="291"/>
    </row>
    <row r="256" spans="1:30" ht="16.5" customHeight="1">
      <c r="A256" s="9"/>
      <c r="B256" s="9"/>
      <c r="C256" s="9"/>
      <c r="D256" s="93" t="s">
        <v>505</v>
      </c>
      <c r="E256" s="42">
        <v>0</v>
      </c>
      <c r="F256" s="42">
        <v>0</v>
      </c>
      <c r="G256" s="42">
        <v>0</v>
      </c>
      <c r="H256" s="42">
        <v>0</v>
      </c>
      <c r="I256" s="42">
        <v>0</v>
      </c>
      <c r="J256" s="42">
        <v>0</v>
      </c>
      <c r="K256" s="42">
        <v>0</v>
      </c>
      <c r="L256" s="42">
        <v>0</v>
      </c>
      <c r="M256" s="150">
        <f t="shared" si="4"/>
        <v>0</v>
      </c>
      <c r="N256" s="45" t="s">
        <v>44</v>
      </c>
      <c r="O256" s="45" t="s">
        <v>274</v>
      </c>
      <c r="P256" s="14"/>
    </row>
    <row r="257" spans="1:30" ht="30.5" customHeight="1">
      <c r="A257" s="9"/>
      <c r="B257" s="9"/>
      <c r="C257" s="9"/>
      <c r="D257" s="93" t="s">
        <v>506</v>
      </c>
      <c r="E257" s="42">
        <v>0</v>
      </c>
      <c r="F257" s="42">
        <v>0</v>
      </c>
      <c r="G257" s="42">
        <v>0</v>
      </c>
      <c r="H257" s="42">
        <v>0</v>
      </c>
      <c r="I257" s="42">
        <v>0</v>
      </c>
      <c r="J257" s="42">
        <v>0</v>
      </c>
      <c r="K257" s="42">
        <v>0</v>
      </c>
      <c r="L257" s="42">
        <v>0</v>
      </c>
      <c r="M257" s="150">
        <f>SUM(E257:L257)</f>
        <v>0</v>
      </c>
      <c r="N257" s="45" t="s">
        <v>45</v>
      </c>
      <c r="O257" s="45" t="s">
        <v>694</v>
      </c>
      <c r="P257" s="289" t="s">
        <v>275</v>
      </c>
      <c r="Q257" s="290"/>
      <c r="R257" s="290"/>
      <c r="S257" s="290"/>
      <c r="T257" s="290"/>
      <c r="U257" s="290"/>
      <c r="V257" s="290"/>
      <c r="W257" s="290"/>
      <c r="X257" s="290"/>
      <c r="Y257" s="290"/>
      <c r="Z257" s="290"/>
      <c r="AA257" s="290"/>
      <c r="AB257" s="290"/>
      <c r="AC257" s="290"/>
      <c r="AD257" s="291"/>
    </row>
    <row r="258" spans="1:30" ht="65" customHeight="1">
      <c r="A258" s="9"/>
      <c r="B258" s="9"/>
      <c r="C258" s="9"/>
      <c r="D258" s="93" t="s">
        <v>507</v>
      </c>
      <c r="E258" s="42">
        <v>0</v>
      </c>
      <c r="F258" s="42">
        <v>0</v>
      </c>
      <c r="G258" s="42">
        <v>0</v>
      </c>
      <c r="H258" s="42">
        <v>0</v>
      </c>
      <c r="I258" s="42">
        <v>0</v>
      </c>
      <c r="J258" s="42">
        <v>0</v>
      </c>
      <c r="K258" s="42">
        <v>0</v>
      </c>
      <c r="L258" s="42">
        <v>0</v>
      </c>
      <c r="M258" s="150">
        <f t="shared" si="4"/>
        <v>0</v>
      </c>
      <c r="N258" s="45" t="s">
        <v>46</v>
      </c>
      <c r="O258" s="45" t="s">
        <v>695</v>
      </c>
      <c r="P258" s="289" t="s">
        <v>276</v>
      </c>
      <c r="Q258" s="290"/>
      <c r="R258" s="290"/>
      <c r="S258" s="290"/>
      <c r="T258" s="290"/>
      <c r="U258" s="290"/>
      <c r="V258" s="290"/>
      <c r="W258" s="290"/>
      <c r="X258" s="290"/>
      <c r="Y258" s="290"/>
      <c r="Z258" s="290"/>
      <c r="AA258" s="290"/>
      <c r="AB258" s="290"/>
      <c r="AC258" s="290"/>
      <c r="AD258" s="291"/>
    </row>
    <row r="259" spans="1:30" ht="16.5" customHeight="1">
      <c r="A259" s="9"/>
      <c r="B259" s="9"/>
      <c r="C259" s="9"/>
      <c r="D259" s="93" t="s">
        <v>699</v>
      </c>
      <c r="E259" s="42">
        <v>0</v>
      </c>
      <c r="F259" s="42">
        <v>0</v>
      </c>
      <c r="G259" s="42">
        <v>0</v>
      </c>
      <c r="H259" s="42">
        <v>0</v>
      </c>
      <c r="I259" s="42">
        <v>0</v>
      </c>
      <c r="J259" s="42">
        <v>0</v>
      </c>
      <c r="K259" s="42">
        <v>0</v>
      </c>
      <c r="L259" s="42">
        <v>0</v>
      </c>
      <c r="M259" s="150">
        <f t="shared" si="4"/>
        <v>0</v>
      </c>
      <c r="N259" s="45" t="s">
        <v>47</v>
      </c>
      <c r="O259" s="45" t="s">
        <v>696</v>
      </c>
      <c r="P259" s="289" t="s">
        <v>277</v>
      </c>
      <c r="Q259" s="290"/>
      <c r="R259" s="290"/>
      <c r="S259" s="290"/>
      <c r="T259" s="290"/>
      <c r="U259" s="290"/>
      <c r="V259" s="290"/>
      <c r="W259" s="290"/>
      <c r="X259" s="290"/>
      <c r="Y259" s="290"/>
      <c r="Z259" s="290"/>
      <c r="AA259" s="290"/>
      <c r="AB259" s="290"/>
      <c r="AC259" s="290"/>
      <c r="AD259" s="291"/>
    </row>
    <row r="260" spans="1:30" ht="80.5" customHeight="1">
      <c r="A260" s="9"/>
      <c r="B260" s="9"/>
      <c r="C260" s="9"/>
      <c r="D260" s="93" t="s">
        <v>509</v>
      </c>
      <c r="E260" s="42">
        <v>0</v>
      </c>
      <c r="F260" s="42">
        <v>0</v>
      </c>
      <c r="G260" s="42">
        <v>0</v>
      </c>
      <c r="H260" s="42">
        <v>0</v>
      </c>
      <c r="I260" s="42">
        <v>0</v>
      </c>
      <c r="J260" s="42">
        <v>0</v>
      </c>
      <c r="K260" s="42">
        <v>0</v>
      </c>
      <c r="L260" s="42">
        <v>0</v>
      </c>
      <c r="M260" s="150">
        <f t="shared" si="4"/>
        <v>0</v>
      </c>
      <c r="N260" s="45" t="s">
        <v>48</v>
      </c>
      <c r="O260" s="45" t="s">
        <v>278</v>
      </c>
      <c r="P260" s="289" t="s">
        <v>279</v>
      </c>
      <c r="Q260" s="290"/>
      <c r="R260" s="290"/>
      <c r="S260" s="290"/>
      <c r="T260" s="290"/>
      <c r="U260" s="290"/>
      <c r="V260" s="290"/>
      <c r="W260" s="290"/>
      <c r="X260" s="290"/>
      <c r="Y260" s="290"/>
      <c r="Z260" s="290"/>
      <c r="AA260" s="290"/>
      <c r="AB260" s="290"/>
      <c r="AC260" s="290"/>
      <c r="AD260" s="291"/>
    </row>
    <row r="261" spans="1:30" ht="16.5" customHeight="1" thickBot="1">
      <c r="A261" s="9"/>
      <c r="B261" s="9"/>
      <c r="C261" s="9"/>
      <c r="D261" s="158" t="s">
        <v>281</v>
      </c>
      <c r="E261" s="151">
        <f>E233+SUM(E235:E260)</f>
        <v>46913</v>
      </c>
      <c r="F261" s="151">
        <f t="shared" ref="F261:M261" si="5">F233+SUM(F235:F260)</f>
        <v>0</v>
      </c>
      <c r="G261" s="151">
        <f t="shared" si="5"/>
        <v>0</v>
      </c>
      <c r="H261" s="151">
        <f t="shared" si="5"/>
        <v>0</v>
      </c>
      <c r="I261" s="151">
        <f t="shared" si="5"/>
        <v>0</v>
      </c>
      <c r="J261" s="151">
        <f t="shared" si="5"/>
        <v>0</v>
      </c>
      <c r="K261" s="151">
        <f t="shared" si="5"/>
        <v>0</v>
      </c>
      <c r="L261" s="151">
        <f t="shared" si="5"/>
        <v>0</v>
      </c>
      <c r="M261" s="152">
        <f t="shared" si="5"/>
        <v>46913</v>
      </c>
      <c r="N261" s="45" t="s">
        <v>10</v>
      </c>
      <c r="O261" s="45" t="s">
        <v>280</v>
      </c>
    </row>
    <row r="262" spans="1:30" ht="16.5" customHeight="1" thickBot="1">
      <c r="A262" s="9"/>
      <c r="B262" s="9"/>
      <c r="C262" s="9"/>
      <c r="L262" s="7"/>
      <c r="M262" s="7"/>
      <c r="N262" s="7"/>
    </row>
    <row r="263" spans="1:30" ht="16" thickBot="1">
      <c r="A263" s="9"/>
      <c r="B263" s="9"/>
      <c r="C263" s="9"/>
      <c r="D263" s="303" t="s">
        <v>284</v>
      </c>
      <c r="E263" s="304" t="s">
        <v>102</v>
      </c>
      <c r="F263" s="304"/>
      <c r="G263" s="304"/>
      <c r="H263" s="304"/>
      <c r="I263" s="304"/>
      <c r="J263" s="304"/>
      <c r="K263" s="304"/>
      <c r="L263" s="304"/>
      <c r="M263" s="305"/>
      <c r="N263" s="45" t="s">
        <v>282</v>
      </c>
      <c r="O263" s="45" t="s">
        <v>283</v>
      </c>
    </row>
    <row r="264" spans="1:30" ht="16.5" customHeight="1">
      <c r="A264" s="9"/>
      <c r="B264" s="9"/>
      <c r="C264" s="9"/>
      <c r="D264" s="165" t="s">
        <v>286</v>
      </c>
      <c r="E264" s="166" t="str">
        <f>+E232</f>
        <v>Nord Stream AG (PE Russia)</v>
      </c>
      <c r="F264" s="166">
        <f t="shared" ref="F264:L264" si="6">+F232</f>
        <v>0</v>
      </c>
      <c r="G264" s="166">
        <f t="shared" si="6"/>
        <v>0</v>
      </c>
      <c r="H264" s="166">
        <f t="shared" si="6"/>
        <v>0</v>
      </c>
      <c r="I264" s="166">
        <f t="shared" si="6"/>
        <v>0</v>
      </c>
      <c r="J264" s="166">
        <f t="shared" si="6"/>
        <v>0</v>
      </c>
      <c r="K264" s="166">
        <f t="shared" si="6"/>
        <v>0</v>
      </c>
      <c r="L264" s="166">
        <f t="shared" si="6"/>
        <v>0</v>
      </c>
      <c r="M264" s="167" t="str">
        <f>+M232</f>
        <v>Total amount</v>
      </c>
      <c r="N264" s="45" t="s">
        <v>245</v>
      </c>
      <c r="O264" s="45" t="s">
        <v>285</v>
      </c>
    </row>
    <row r="265" spans="1:30" ht="48" customHeight="1">
      <c r="A265" s="9"/>
      <c r="B265" s="9"/>
      <c r="C265" s="9"/>
      <c r="D265" s="161" t="s">
        <v>700</v>
      </c>
      <c r="E265" s="42">
        <v>23457</v>
      </c>
      <c r="F265" s="42">
        <v>0</v>
      </c>
      <c r="G265" s="42">
        <v>0</v>
      </c>
      <c r="H265" s="42">
        <v>0</v>
      </c>
      <c r="I265" s="42">
        <v>0</v>
      </c>
      <c r="J265" s="42">
        <v>0</v>
      </c>
      <c r="K265" s="42">
        <v>0</v>
      </c>
      <c r="L265" s="42">
        <v>0</v>
      </c>
      <c r="M265" s="150">
        <f>SUM(E265:L265)</f>
        <v>23457</v>
      </c>
      <c r="N265" s="45" t="s">
        <v>7</v>
      </c>
      <c r="O265" s="45" t="s">
        <v>287</v>
      </c>
      <c r="P265" s="289" t="s">
        <v>288</v>
      </c>
      <c r="Q265" s="290"/>
      <c r="R265" s="290"/>
      <c r="S265" s="290"/>
      <c r="T265" s="290"/>
      <c r="U265" s="290"/>
      <c r="V265" s="290"/>
      <c r="W265" s="290"/>
      <c r="X265" s="290"/>
      <c r="Y265" s="290"/>
      <c r="Z265" s="290"/>
      <c r="AA265" s="290"/>
      <c r="AB265" s="290"/>
      <c r="AC265" s="290"/>
      <c r="AD265" s="291"/>
    </row>
    <row r="266" spans="1:30" ht="16.5" customHeight="1">
      <c r="A266" s="9"/>
      <c r="B266" s="9"/>
      <c r="C266" s="9"/>
      <c r="D266" s="161" t="s">
        <v>710</v>
      </c>
      <c r="E266" s="42">
        <v>0</v>
      </c>
      <c r="F266" s="42">
        <v>0</v>
      </c>
      <c r="G266" s="42">
        <v>0</v>
      </c>
      <c r="H266" s="42">
        <v>0</v>
      </c>
      <c r="I266" s="42">
        <v>0</v>
      </c>
      <c r="J266" s="42">
        <v>0</v>
      </c>
      <c r="K266" s="42">
        <v>0</v>
      </c>
      <c r="L266" s="42">
        <v>0</v>
      </c>
      <c r="M266" s="150"/>
      <c r="N266" s="45" t="s">
        <v>289</v>
      </c>
      <c r="O266" s="45" t="s">
        <v>290</v>
      </c>
    </row>
    <row r="267" spans="1:30" ht="16.5" customHeight="1">
      <c r="A267" s="9"/>
      <c r="B267" s="9"/>
      <c r="C267" s="9"/>
      <c r="D267" s="161" t="s">
        <v>701</v>
      </c>
      <c r="E267" s="42" t="s">
        <v>714</v>
      </c>
      <c r="F267" s="42" t="s">
        <v>714</v>
      </c>
      <c r="G267" s="42" t="s">
        <v>714</v>
      </c>
      <c r="H267" s="42" t="s">
        <v>714</v>
      </c>
      <c r="I267" s="42" t="s">
        <v>714</v>
      </c>
      <c r="J267" s="42" t="s">
        <v>714</v>
      </c>
      <c r="K267" s="42" t="s">
        <v>714</v>
      </c>
      <c r="L267" s="42" t="s">
        <v>714</v>
      </c>
      <c r="M267" s="150"/>
      <c r="N267" s="45" t="s">
        <v>291</v>
      </c>
      <c r="O267" s="45" t="s">
        <v>292</v>
      </c>
    </row>
    <row r="268" spans="1:30" ht="16.5" customHeight="1">
      <c r="A268" s="9"/>
      <c r="B268" s="9"/>
      <c r="C268" s="9"/>
      <c r="D268" s="161" t="s">
        <v>702</v>
      </c>
      <c r="E268" s="42" t="s">
        <v>716</v>
      </c>
      <c r="F268" s="42" t="s">
        <v>716</v>
      </c>
      <c r="G268" s="42" t="s">
        <v>716</v>
      </c>
      <c r="H268" s="42" t="s">
        <v>716</v>
      </c>
      <c r="I268" s="42" t="s">
        <v>716</v>
      </c>
      <c r="J268" s="42" t="s">
        <v>716</v>
      </c>
      <c r="K268" s="42" t="s">
        <v>716</v>
      </c>
      <c r="L268" s="42" t="s">
        <v>716</v>
      </c>
      <c r="M268" s="150"/>
      <c r="N268" s="45" t="s">
        <v>293</v>
      </c>
      <c r="O268" s="45" t="s">
        <v>294</v>
      </c>
    </row>
    <row r="269" spans="1:30" ht="16.5" customHeight="1">
      <c r="A269" s="9"/>
      <c r="B269" s="9"/>
      <c r="C269" s="9"/>
      <c r="D269" s="161" t="s">
        <v>703</v>
      </c>
      <c r="E269" s="42">
        <v>0</v>
      </c>
      <c r="F269" s="42">
        <v>0</v>
      </c>
      <c r="G269" s="42">
        <v>0</v>
      </c>
      <c r="H269" s="42">
        <v>0</v>
      </c>
      <c r="I269" s="42">
        <v>0</v>
      </c>
      <c r="J269" s="42">
        <v>0</v>
      </c>
      <c r="K269" s="42">
        <v>0</v>
      </c>
      <c r="L269" s="42">
        <v>0</v>
      </c>
      <c r="M269" s="150">
        <f>SUM(E269:L269)</f>
        <v>0</v>
      </c>
      <c r="N269" s="45" t="s">
        <v>295</v>
      </c>
      <c r="O269" s="45" t="s">
        <v>296</v>
      </c>
    </row>
    <row r="270" spans="1:30" ht="16.5" customHeight="1">
      <c r="A270" s="9"/>
      <c r="B270" s="9"/>
      <c r="C270" s="9"/>
      <c r="D270" s="161" t="s">
        <v>704</v>
      </c>
      <c r="E270" s="42">
        <v>0</v>
      </c>
      <c r="F270" s="42">
        <v>0</v>
      </c>
      <c r="G270" s="42">
        <v>0</v>
      </c>
      <c r="H270" s="42">
        <v>0</v>
      </c>
      <c r="I270" s="42">
        <v>0</v>
      </c>
      <c r="J270" s="42">
        <v>0</v>
      </c>
      <c r="K270" s="42">
        <v>0</v>
      </c>
      <c r="L270" s="42">
        <v>0</v>
      </c>
      <c r="M270" s="150">
        <f>SUM(E270:L270)</f>
        <v>0</v>
      </c>
      <c r="N270" s="45" t="s">
        <v>297</v>
      </c>
      <c r="O270" s="45" t="s">
        <v>298</v>
      </c>
    </row>
    <row r="271" spans="1:30" ht="16.5" customHeight="1" thickBot="1">
      <c r="A271" s="9"/>
      <c r="B271" s="9"/>
      <c r="C271" s="9"/>
      <c r="D271" s="162" t="s">
        <v>705</v>
      </c>
      <c r="E271" s="163">
        <f>+E265+E269+E270</f>
        <v>23457</v>
      </c>
      <c r="F271" s="163">
        <f t="shared" ref="F271:M271" si="7">+F265+F269+F270</f>
        <v>0</v>
      </c>
      <c r="G271" s="163">
        <f t="shared" si="7"/>
        <v>0</v>
      </c>
      <c r="H271" s="163">
        <f t="shared" si="7"/>
        <v>0</v>
      </c>
      <c r="I271" s="163">
        <f t="shared" si="7"/>
        <v>0</v>
      </c>
      <c r="J271" s="163">
        <f t="shared" si="7"/>
        <v>0</v>
      </c>
      <c r="K271" s="163">
        <f t="shared" si="7"/>
        <v>0</v>
      </c>
      <c r="L271" s="163">
        <f t="shared" si="7"/>
        <v>0</v>
      </c>
      <c r="M271" s="163">
        <f t="shared" si="7"/>
        <v>23457</v>
      </c>
      <c r="N271" s="45" t="s">
        <v>19</v>
      </c>
      <c r="O271" s="45" t="s">
        <v>299</v>
      </c>
    </row>
    <row r="272" spans="1:30" ht="16" thickBot="1">
      <c r="A272" s="9"/>
      <c r="B272" s="9"/>
      <c r="C272" s="9"/>
      <c r="D272" s="56"/>
      <c r="E272" s="56"/>
      <c r="F272" s="56"/>
      <c r="G272" s="56"/>
      <c r="H272" s="56"/>
      <c r="I272" s="56"/>
      <c r="J272" s="56"/>
      <c r="K272" s="56"/>
      <c r="L272" s="56"/>
      <c r="M272" s="56"/>
      <c r="N272" s="56"/>
    </row>
    <row r="273" spans="1:15" ht="16" thickBot="1">
      <c r="A273" s="9"/>
      <c r="B273" s="9"/>
      <c r="C273" s="9"/>
      <c r="D273" s="361" t="s">
        <v>706</v>
      </c>
      <c r="E273" s="362" t="s">
        <v>102</v>
      </c>
      <c r="F273" s="362"/>
      <c r="G273" s="362"/>
      <c r="H273" s="362"/>
      <c r="I273" s="362"/>
      <c r="J273" s="362"/>
      <c r="K273" s="362"/>
      <c r="L273" s="362"/>
      <c r="M273" s="363"/>
      <c r="N273" s="45" t="s">
        <v>300</v>
      </c>
      <c r="O273" s="45" t="s">
        <v>301</v>
      </c>
    </row>
    <row r="274" spans="1:15">
      <c r="A274" s="9"/>
      <c r="B274" s="9"/>
      <c r="C274" s="9"/>
      <c r="D274" s="168" t="s">
        <v>707</v>
      </c>
      <c r="E274" s="169" t="str">
        <f>+E264</f>
        <v>Nord Stream AG (PE Russia)</v>
      </c>
      <c r="F274" s="169">
        <f t="shared" ref="F274:M274" si="8">+F264</f>
        <v>0</v>
      </c>
      <c r="G274" s="169">
        <f t="shared" si="8"/>
        <v>0</v>
      </c>
      <c r="H274" s="169">
        <f t="shared" si="8"/>
        <v>0</v>
      </c>
      <c r="I274" s="169">
        <f t="shared" si="8"/>
        <v>0</v>
      </c>
      <c r="J274" s="169">
        <f t="shared" si="8"/>
        <v>0</v>
      </c>
      <c r="K274" s="169">
        <f t="shared" si="8"/>
        <v>0</v>
      </c>
      <c r="L274" s="169">
        <f t="shared" si="8"/>
        <v>0</v>
      </c>
      <c r="M274" s="170" t="str">
        <f t="shared" si="8"/>
        <v>Total amount</v>
      </c>
      <c r="N274" s="45" t="s">
        <v>245</v>
      </c>
      <c r="O274" s="45" t="s">
        <v>302</v>
      </c>
    </row>
    <row r="275" spans="1:15">
      <c r="A275" s="9"/>
      <c r="B275" s="9"/>
      <c r="C275" s="9"/>
      <c r="D275" s="161" t="s">
        <v>708</v>
      </c>
      <c r="E275" s="42">
        <v>0</v>
      </c>
      <c r="F275" s="42">
        <v>0</v>
      </c>
      <c r="G275" s="42">
        <v>0</v>
      </c>
      <c r="H275" s="42">
        <v>0</v>
      </c>
      <c r="I275" s="42">
        <v>0</v>
      </c>
      <c r="J275" s="42">
        <v>0</v>
      </c>
      <c r="K275" s="42">
        <v>0</v>
      </c>
      <c r="L275" s="42">
        <v>0</v>
      </c>
      <c r="M275" s="150">
        <f>SUM(E275:L275)</f>
        <v>0</v>
      </c>
      <c r="N275" s="45" t="s">
        <v>289</v>
      </c>
      <c r="O275" s="45" t="s">
        <v>303</v>
      </c>
    </row>
    <row r="276" spans="1:15">
      <c r="A276" s="9"/>
      <c r="B276" s="9"/>
      <c r="C276" s="9"/>
      <c r="D276" s="161" t="s">
        <v>305</v>
      </c>
      <c r="E276" s="42">
        <v>0</v>
      </c>
      <c r="F276" s="42">
        <v>0</v>
      </c>
      <c r="G276" s="42">
        <v>0</v>
      </c>
      <c r="H276" s="42">
        <v>0</v>
      </c>
      <c r="I276" s="42">
        <v>0</v>
      </c>
      <c r="J276" s="42">
        <v>0</v>
      </c>
      <c r="K276" s="42">
        <v>0</v>
      </c>
      <c r="L276" s="42">
        <v>0</v>
      </c>
      <c r="M276" s="150">
        <f>SUM(E276:L276)</f>
        <v>0</v>
      </c>
      <c r="N276" s="45" t="s">
        <v>291</v>
      </c>
      <c r="O276" s="45" t="s">
        <v>304</v>
      </c>
    </row>
    <row r="277" spans="1:15">
      <c r="A277" s="9"/>
      <c r="B277" s="9"/>
      <c r="C277" s="9"/>
      <c r="D277" s="161" t="s">
        <v>709</v>
      </c>
      <c r="E277" s="42">
        <v>0</v>
      </c>
      <c r="F277" s="42">
        <v>0</v>
      </c>
      <c r="G277" s="42">
        <v>0</v>
      </c>
      <c r="H277" s="42">
        <v>0</v>
      </c>
      <c r="I277" s="42">
        <v>0</v>
      </c>
      <c r="J277" s="42">
        <v>0</v>
      </c>
      <c r="K277" s="42">
        <v>0</v>
      </c>
      <c r="L277" s="42">
        <v>0</v>
      </c>
      <c r="M277" s="150">
        <f>SUM(E277:L277)</f>
        <v>0</v>
      </c>
      <c r="N277" s="45" t="s">
        <v>293</v>
      </c>
      <c r="O277" s="45" t="s">
        <v>306</v>
      </c>
    </row>
    <row r="278" spans="1:15">
      <c r="A278" s="9"/>
      <c r="B278" s="9"/>
      <c r="C278" s="9"/>
      <c r="D278" s="161" t="s">
        <v>711</v>
      </c>
      <c r="E278" s="172">
        <v>0</v>
      </c>
      <c r="F278" s="172">
        <v>0</v>
      </c>
      <c r="G278" s="172">
        <v>0</v>
      </c>
      <c r="H278" s="172">
        <v>0</v>
      </c>
      <c r="I278" s="172">
        <v>0</v>
      </c>
      <c r="J278" s="172">
        <v>0</v>
      </c>
      <c r="K278" s="172">
        <v>0</v>
      </c>
      <c r="L278" s="172">
        <v>0</v>
      </c>
      <c r="M278" s="150">
        <f>SUM(E278:L278)</f>
        <v>0</v>
      </c>
      <c r="N278" s="45"/>
      <c r="O278" s="45"/>
    </row>
    <row r="279" spans="1:15" ht="25.5" thickBot="1">
      <c r="A279" s="9"/>
      <c r="B279" s="9"/>
      <c r="C279" s="9"/>
      <c r="D279" s="162" t="s">
        <v>712</v>
      </c>
      <c r="E279" s="106">
        <v>0</v>
      </c>
      <c r="F279" s="106">
        <v>0</v>
      </c>
      <c r="G279" s="106">
        <v>0</v>
      </c>
      <c r="H279" s="106">
        <v>0</v>
      </c>
      <c r="I279" s="106">
        <v>0</v>
      </c>
      <c r="J279" s="106">
        <v>0</v>
      </c>
      <c r="K279" s="106">
        <v>0</v>
      </c>
      <c r="L279" s="106">
        <v>0</v>
      </c>
      <c r="M279" s="164">
        <f>SUM(M275:M277)</f>
        <v>0</v>
      </c>
      <c r="N279" s="45" t="s">
        <v>263</v>
      </c>
      <c r="O279" s="45" t="s">
        <v>307</v>
      </c>
    </row>
    <row r="280" spans="1:15" ht="16" thickBot="1">
      <c r="A280" s="56"/>
      <c r="B280" s="56"/>
      <c r="C280" s="56"/>
      <c r="D280" s="56"/>
      <c r="E280" s="56"/>
      <c r="F280" s="56"/>
      <c r="G280" s="56"/>
      <c r="H280" s="56"/>
      <c r="I280" s="56"/>
      <c r="J280" s="56"/>
      <c r="K280" s="56"/>
      <c r="L280" s="56"/>
      <c r="M280" s="56"/>
      <c r="N280" s="56"/>
    </row>
    <row r="281" spans="1:15" ht="16" thickBot="1">
      <c r="A281" s="56"/>
      <c r="B281" s="56"/>
      <c r="C281" s="56"/>
      <c r="D281" s="361" t="s">
        <v>309</v>
      </c>
      <c r="E281" s="362" t="s">
        <v>102</v>
      </c>
      <c r="F281" s="362"/>
      <c r="G281" s="362"/>
      <c r="H281" s="362"/>
      <c r="I281" s="362"/>
      <c r="J281" s="362"/>
      <c r="K281" s="362"/>
      <c r="L281" s="362"/>
      <c r="M281" s="363"/>
      <c r="N281" s="56"/>
      <c r="O281" s="45" t="s">
        <v>308</v>
      </c>
    </row>
    <row r="282" spans="1:15">
      <c r="A282" s="56"/>
      <c r="B282" s="56"/>
      <c r="C282" s="56"/>
      <c r="D282" s="168" t="s">
        <v>713</v>
      </c>
      <c r="E282" s="169" t="str">
        <f>+E274</f>
        <v>Nord Stream AG (PE Russia)</v>
      </c>
      <c r="F282" s="169">
        <f t="shared" ref="F282:M282" si="9">+F274</f>
        <v>0</v>
      </c>
      <c r="G282" s="169">
        <f t="shared" si="9"/>
        <v>0</v>
      </c>
      <c r="H282" s="169">
        <f t="shared" si="9"/>
        <v>0</v>
      </c>
      <c r="I282" s="169">
        <f t="shared" si="9"/>
        <v>0</v>
      </c>
      <c r="J282" s="169">
        <f t="shared" si="9"/>
        <v>0</v>
      </c>
      <c r="K282" s="169">
        <f t="shared" si="9"/>
        <v>0</v>
      </c>
      <c r="L282" s="169">
        <f t="shared" si="9"/>
        <v>0</v>
      </c>
      <c r="M282" s="170" t="str">
        <f t="shared" si="9"/>
        <v>Total amount</v>
      </c>
      <c r="N282" s="56"/>
      <c r="O282" s="45" t="s">
        <v>310</v>
      </c>
    </row>
    <row r="283" spans="1:15">
      <c r="A283" s="56"/>
      <c r="B283" s="56"/>
      <c r="C283" s="56"/>
      <c r="D283" s="161" t="s">
        <v>312</v>
      </c>
      <c r="E283" s="42">
        <v>0</v>
      </c>
      <c r="F283" s="42">
        <v>0</v>
      </c>
      <c r="G283" s="42">
        <v>0</v>
      </c>
      <c r="H283" s="42">
        <v>0</v>
      </c>
      <c r="I283" s="42">
        <v>0</v>
      </c>
      <c r="J283" s="42">
        <v>0</v>
      </c>
      <c r="K283" s="42">
        <v>0</v>
      </c>
      <c r="L283" s="42">
        <v>0</v>
      </c>
      <c r="M283" s="150">
        <f>SUM(E283:L283)</f>
        <v>0</v>
      </c>
      <c r="N283" s="56"/>
      <c r="O283" s="45" t="s">
        <v>311</v>
      </c>
    </row>
    <row r="284" spans="1:15">
      <c r="A284" s="56"/>
      <c r="B284" s="56"/>
      <c r="C284" s="56"/>
      <c r="D284" s="161" t="s">
        <v>314</v>
      </c>
      <c r="E284" s="42" t="s">
        <v>714</v>
      </c>
      <c r="F284" s="42" t="s">
        <v>714</v>
      </c>
      <c r="G284" s="42" t="s">
        <v>714</v>
      </c>
      <c r="H284" s="42" t="s">
        <v>714</v>
      </c>
      <c r="I284" s="42" t="s">
        <v>714</v>
      </c>
      <c r="J284" s="42" t="s">
        <v>714</v>
      </c>
      <c r="K284" s="42" t="s">
        <v>714</v>
      </c>
      <c r="L284" s="42" t="s">
        <v>714</v>
      </c>
      <c r="M284" s="150"/>
      <c r="N284" s="56"/>
      <c r="O284" s="45" t="s">
        <v>313</v>
      </c>
    </row>
    <row r="285" spans="1:15">
      <c r="A285" s="56"/>
      <c r="B285" s="56"/>
      <c r="C285" s="56"/>
      <c r="D285" s="161" t="s">
        <v>316</v>
      </c>
      <c r="E285" s="42" t="s">
        <v>715</v>
      </c>
      <c r="F285" s="42" t="s">
        <v>715</v>
      </c>
      <c r="G285" s="42" t="s">
        <v>715</v>
      </c>
      <c r="H285" s="42" t="s">
        <v>715</v>
      </c>
      <c r="I285" s="42" t="s">
        <v>715</v>
      </c>
      <c r="J285" s="42" t="s">
        <v>715</v>
      </c>
      <c r="K285" s="42" t="s">
        <v>715</v>
      </c>
      <c r="L285" s="42" t="s">
        <v>715</v>
      </c>
      <c r="M285" s="150"/>
      <c r="N285" s="56"/>
      <c r="O285" s="45" t="s">
        <v>315</v>
      </c>
    </row>
    <row r="286" spans="1:15" ht="16" thickBot="1">
      <c r="A286" s="56"/>
      <c r="B286" s="56"/>
      <c r="C286" s="56"/>
      <c r="D286" s="162" t="s">
        <v>318</v>
      </c>
      <c r="E286" s="106">
        <v>0</v>
      </c>
      <c r="F286" s="106">
        <v>0</v>
      </c>
      <c r="G286" s="106">
        <v>0</v>
      </c>
      <c r="H286" s="106">
        <v>0</v>
      </c>
      <c r="I286" s="106">
        <v>0</v>
      </c>
      <c r="J286" s="106"/>
      <c r="K286" s="106"/>
      <c r="L286" s="106"/>
      <c r="M286" s="164">
        <f>SUM(E286:L286)</f>
        <v>0</v>
      </c>
      <c r="N286" s="56"/>
      <c r="O286" s="45" t="s">
        <v>317</v>
      </c>
    </row>
    <row r="287" spans="1:15">
      <c r="A287" s="56"/>
      <c r="B287" s="56"/>
      <c r="C287" s="56"/>
      <c r="D287" s="2"/>
      <c r="E287" s="56"/>
      <c r="F287" s="56"/>
      <c r="G287" s="56"/>
      <c r="H287" s="56"/>
      <c r="I287" s="56"/>
      <c r="J287" s="56"/>
      <c r="K287" s="56"/>
      <c r="L287" s="56"/>
      <c r="M287" s="56"/>
      <c r="N287" s="56"/>
    </row>
    <row r="288" spans="1:15" ht="16" thickBot="1">
      <c r="A288" s="56"/>
      <c r="B288" s="56"/>
      <c r="C288" s="56"/>
      <c r="E288" s="56"/>
      <c r="F288" s="56"/>
      <c r="G288" s="56"/>
      <c r="H288" s="56"/>
      <c r="I288" s="56"/>
      <c r="J288" s="56"/>
      <c r="K288" s="56"/>
      <c r="L288" s="56"/>
      <c r="M288" s="56"/>
      <c r="N288" s="56"/>
    </row>
    <row r="289" spans="1:30" ht="16" thickBot="1">
      <c r="A289" s="56"/>
      <c r="B289" s="56"/>
      <c r="C289" s="56"/>
      <c r="D289" s="296" t="s">
        <v>319</v>
      </c>
      <c r="E289" s="297"/>
      <c r="F289" s="297"/>
      <c r="G289" s="297"/>
      <c r="H289" s="297"/>
      <c r="I289" s="297"/>
      <c r="J289" s="297"/>
      <c r="K289" s="297"/>
      <c r="L289" s="297"/>
      <c r="M289" s="298"/>
      <c r="N289" s="7"/>
    </row>
    <row r="290" spans="1:30" ht="16" thickBot="1">
      <c r="A290" s="56"/>
      <c r="B290" s="56"/>
      <c r="C290" s="56"/>
      <c r="D290" s="296" t="s">
        <v>321</v>
      </c>
      <c r="E290" s="297"/>
      <c r="F290" s="297"/>
      <c r="G290" s="297"/>
      <c r="H290" s="297"/>
      <c r="I290" s="297"/>
      <c r="J290" s="297"/>
      <c r="K290" s="297"/>
      <c r="L290" s="297"/>
      <c r="M290" s="298"/>
      <c r="N290" s="45"/>
      <c r="O290" s="45" t="s">
        <v>320</v>
      </c>
    </row>
    <row r="291" spans="1:30">
      <c r="A291" s="56"/>
      <c r="B291" s="56"/>
      <c r="C291" s="56"/>
      <c r="D291" s="174" t="s">
        <v>247</v>
      </c>
      <c r="E291" s="169" t="str">
        <f>+E282</f>
        <v>Nord Stream AG (PE Russia)</v>
      </c>
      <c r="F291" s="169">
        <f t="shared" ref="F291:M291" si="10">+F282</f>
        <v>0</v>
      </c>
      <c r="G291" s="169">
        <f t="shared" si="10"/>
        <v>0</v>
      </c>
      <c r="H291" s="169">
        <f t="shared" si="10"/>
        <v>0</v>
      </c>
      <c r="I291" s="169">
        <f t="shared" si="10"/>
        <v>0</v>
      </c>
      <c r="J291" s="169">
        <f t="shared" si="10"/>
        <v>0</v>
      </c>
      <c r="K291" s="169">
        <f t="shared" si="10"/>
        <v>0</v>
      </c>
      <c r="L291" s="169">
        <f t="shared" si="10"/>
        <v>0</v>
      </c>
      <c r="M291" s="170" t="str">
        <f t="shared" si="10"/>
        <v>Total amount</v>
      </c>
      <c r="N291" s="45"/>
      <c r="O291" s="45" t="s">
        <v>322</v>
      </c>
    </row>
    <row r="292" spans="1:30" ht="16.5" customHeight="1">
      <c r="A292" s="56"/>
      <c r="B292" s="56"/>
      <c r="C292" s="56"/>
      <c r="D292" s="175" t="s">
        <v>325</v>
      </c>
      <c r="E292" s="173">
        <f>+E321</f>
        <v>23456</v>
      </c>
      <c r="F292" s="173">
        <f t="shared" ref="F292:L292" si="11">+F321</f>
        <v>0</v>
      </c>
      <c r="G292" s="173">
        <f>+G321</f>
        <v>0</v>
      </c>
      <c r="H292" s="173">
        <f t="shared" si="11"/>
        <v>0</v>
      </c>
      <c r="I292" s="173">
        <f t="shared" si="11"/>
        <v>0</v>
      </c>
      <c r="J292" s="173">
        <f t="shared" si="11"/>
        <v>0</v>
      </c>
      <c r="K292" s="173">
        <f t="shared" si="11"/>
        <v>0</v>
      </c>
      <c r="L292" s="173">
        <f t="shared" si="11"/>
        <v>0</v>
      </c>
      <c r="M292" s="150">
        <f>SUM(E292:L292)</f>
        <v>23456</v>
      </c>
      <c r="N292" s="45" t="s">
        <v>53</v>
      </c>
      <c r="O292" s="45" t="s">
        <v>324</v>
      </c>
    </row>
    <row r="293" spans="1:30">
      <c r="A293" s="56"/>
      <c r="B293" s="56"/>
      <c r="C293" s="56"/>
      <c r="D293" s="300" t="s">
        <v>250</v>
      </c>
      <c r="E293" s="301"/>
      <c r="F293" s="301"/>
      <c r="G293" s="301"/>
      <c r="H293" s="301"/>
      <c r="I293" s="301"/>
      <c r="J293" s="301"/>
      <c r="K293" s="301"/>
      <c r="L293" s="301"/>
      <c r="M293" s="302"/>
      <c r="N293" s="45" t="s">
        <v>137</v>
      </c>
      <c r="O293" s="45" t="s">
        <v>717</v>
      </c>
    </row>
    <row r="294" spans="1:30" ht="31" customHeight="1">
      <c r="A294" s="56"/>
      <c r="B294" s="56"/>
      <c r="C294" s="56"/>
      <c r="D294" s="24" t="s">
        <v>539</v>
      </c>
      <c r="E294" s="42">
        <v>0</v>
      </c>
      <c r="F294" s="42">
        <v>0</v>
      </c>
      <c r="G294" s="42">
        <v>0</v>
      </c>
      <c r="H294" s="42">
        <v>0</v>
      </c>
      <c r="I294" s="42">
        <v>0</v>
      </c>
      <c r="J294" s="42"/>
      <c r="K294" s="42"/>
      <c r="L294" s="42"/>
      <c r="M294" s="150">
        <f>SUM(E294:L294)</f>
        <v>0</v>
      </c>
      <c r="N294" s="45" t="s">
        <v>57</v>
      </c>
      <c r="O294" s="45" t="s">
        <v>718</v>
      </c>
      <c r="P294" s="289" t="s">
        <v>326</v>
      </c>
      <c r="Q294" s="290"/>
      <c r="R294" s="290"/>
      <c r="S294" s="290"/>
      <c r="T294" s="290"/>
      <c r="U294" s="290"/>
      <c r="V294" s="290"/>
      <c r="W294" s="290"/>
      <c r="X294" s="290"/>
      <c r="Y294" s="290"/>
      <c r="Z294" s="290"/>
      <c r="AA294" s="290"/>
      <c r="AB294" s="290"/>
      <c r="AC294" s="290"/>
      <c r="AD294" s="291"/>
    </row>
    <row r="295" spans="1:30" ht="52" customHeight="1">
      <c r="A295" s="56"/>
      <c r="B295" s="56"/>
      <c r="C295" s="56"/>
      <c r="D295" s="24" t="s">
        <v>730</v>
      </c>
      <c r="E295" s="42">
        <v>0</v>
      </c>
      <c r="F295" s="42">
        <v>0</v>
      </c>
      <c r="G295" s="42">
        <v>0</v>
      </c>
      <c r="H295" s="42">
        <v>0</v>
      </c>
      <c r="I295" s="42">
        <v>0</v>
      </c>
      <c r="J295" s="42"/>
      <c r="K295" s="42"/>
      <c r="L295" s="42"/>
      <c r="M295" s="150">
        <f t="shared" ref="M295:M310" si="12">SUM(E295:L295)</f>
        <v>0</v>
      </c>
      <c r="N295" s="45" t="s">
        <v>61</v>
      </c>
      <c r="O295" s="45" t="s">
        <v>719</v>
      </c>
      <c r="P295" s="289" t="s">
        <v>327</v>
      </c>
      <c r="Q295" s="290"/>
      <c r="R295" s="290"/>
      <c r="S295" s="290"/>
      <c r="T295" s="290"/>
      <c r="U295" s="290"/>
      <c r="V295" s="290"/>
      <c r="W295" s="290"/>
      <c r="X295" s="290"/>
      <c r="Y295" s="290"/>
      <c r="Z295" s="290"/>
      <c r="AA295" s="290"/>
      <c r="AB295" s="290"/>
      <c r="AC295" s="290"/>
      <c r="AD295" s="291"/>
    </row>
    <row r="296" spans="1:30" ht="56.5" customHeight="1">
      <c r="A296" s="56"/>
      <c r="B296" s="56"/>
      <c r="C296" s="56"/>
      <c r="D296" s="24" t="s">
        <v>731</v>
      </c>
      <c r="E296" s="42">
        <v>0</v>
      </c>
      <c r="F296" s="42">
        <v>0</v>
      </c>
      <c r="G296" s="42">
        <v>0</v>
      </c>
      <c r="H296" s="42">
        <v>0</v>
      </c>
      <c r="I296" s="42">
        <v>0</v>
      </c>
      <c r="J296" s="42"/>
      <c r="K296" s="42"/>
      <c r="L296" s="42"/>
      <c r="M296" s="150">
        <f t="shared" si="12"/>
        <v>0</v>
      </c>
      <c r="N296" s="45" t="s">
        <v>63</v>
      </c>
      <c r="O296" s="45" t="s">
        <v>328</v>
      </c>
      <c r="P296" s="289" t="s">
        <v>329</v>
      </c>
      <c r="Q296" s="290"/>
      <c r="R296" s="290"/>
      <c r="S296" s="290"/>
      <c r="T296" s="290"/>
      <c r="U296" s="290"/>
      <c r="V296" s="290"/>
      <c r="W296" s="290"/>
      <c r="X296" s="290"/>
      <c r="Y296" s="290"/>
      <c r="Z296" s="290"/>
      <c r="AA296" s="290"/>
      <c r="AB296" s="290"/>
      <c r="AC296" s="290"/>
      <c r="AD296" s="291"/>
    </row>
    <row r="297" spans="1:30" ht="41" customHeight="1">
      <c r="A297" s="56"/>
      <c r="B297" s="56"/>
      <c r="C297" s="56"/>
      <c r="D297" s="24" t="s">
        <v>734</v>
      </c>
      <c r="E297" s="42">
        <v>0</v>
      </c>
      <c r="F297" s="42">
        <v>0</v>
      </c>
      <c r="G297" s="42">
        <v>0</v>
      </c>
      <c r="H297" s="42">
        <v>0</v>
      </c>
      <c r="I297" s="42">
        <v>0</v>
      </c>
      <c r="J297" s="42"/>
      <c r="K297" s="42"/>
      <c r="L297" s="42"/>
      <c r="M297" s="150">
        <f t="shared" si="12"/>
        <v>0</v>
      </c>
      <c r="N297" s="45" t="s">
        <v>66</v>
      </c>
      <c r="O297" s="45" t="s">
        <v>720</v>
      </c>
      <c r="P297" s="289" t="s">
        <v>330</v>
      </c>
      <c r="Q297" s="290"/>
      <c r="R297" s="290"/>
      <c r="S297" s="290"/>
      <c r="T297" s="290"/>
      <c r="U297" s="290"/>
      <c r="V297" s="290"/>
      <c r="W297" s="290"/>
      <c r="X297" s="290"/>
      <c r="Y297" s="290"/>
      <c r="Z297" s="290"/>
      <c r="AA297" s="290"/>
      <c r="AB297" s="290"/>
      <c r="AC297" s="290"/>
      <c r="AD297" s="291"/>
    </row>
    <row r="298" spans="1:30" ht="36.5" customHeight="1">
      <c r="A298" s="56"/>
      <c r="B298" s="56"/>
      <c r="C298" s="56"/>
      <c r="D298" s="24" t="s">
        <v>732</v>
      </c>
      <c r="E298" s="42">
        <v>0</v>
      </c>
      <c r="F298" s="42">
        <v>0</v>
      </c>
      <c r="G298" s="42">
        <v>0</v>
      </c>
      <c r="H298" s="42">
        <v>0</v>
      </c>
      <c r="I298" s="42">
        <v>0</v>
      </c>
      <c r="J298" s="42"/>
      <c r="K298" s="42"/>
      <c r="L298" s="42"/>
      <c r="M298" s="150">
        <f t="shared" si="12"/>
        <v>0</v>
      </c>
      <c r="N298" s="45" t="s">
        <v>68</v>
      </c>
      <c r="O298" s="45" t="s">
        <v>721</v>
      </c>
      <c r="P298" s="289" t="s">
        <v>331</v>
      </c>
      <c r="Q298" s="290"/>
      <c r="R298" s="290"/>
      <c r="S298" s="290"/>
      <c r="T298" s="290"/>
      <c r="U298" s="290"/>
      <c r="V298" s="290"/>
      <c r="W298" s="290"/>
      <c r="X298" s="290"/>
      <c r="Y298" s="290"/>
      <c r="Z298" s="290"/>
      <c r="AA298" s="290"/>
      <c r="AB298" s="290"/>
      <c r="AC298" s="290"/>
      <c r="AD298" s="291"/>
    </row>
    <row r="299" spans="1:30" ht="31">
      <c r="A299" s="56"/>
      <c r="B299" s="56"/>
      <c r="C299" s="56"/>
      <c r="D299" s="24" t="s">
        <v>733</v>
      </c>
      <c r="E299" s="42">
        <v>0</v>
      </c>
      <c r="F299" s="42">
        <v>0</v>
      </c>
      <c r="G299" s="42">
        <v>0</v>
      </c>
      <c r="H299" s="42">
        <v>0</v>
      </c>
      <c r="I299" s="42">
        <v>0</v>
      </c>
      <c r="J299" s="42"/>
      <c r="K299" s="42"/>
      <c r="L299" s="42"/>
      <c r="M299" s="150">
        <f t="shared" si="12"/>
        <v>0</v>
      </c>
      <c r="N299" s="45" t="s">
        <v>70</v>
      </c>
      <c r="O299" s="45" t="s">
        <v>332</v>
      </c>
      <c r="P299" s="289" t="s">
        <v>333</v>
      </c>
      <c r="Q299" s="290"/>
      <c r="R299" s="290"/>
      <c r="S299" s="290"/>
      <c r="T299" s="290"/>
      <c r="U299" s="290"/>
      <c r="V299" s="290"/>
      <c r="W299" s="290"/>
      <c r="X299" s="290"/>
      <c r="Y299" s="290"/>
      <c r="Z299" s="290"/>
      <c r="AA299" s="290"/>
      <c r="AB299" s="290"/>
      <c r="AC299" s="290"/>
      <c r="AD299" s="291"/>
    </row>
    <row r="300" spans="1:30" ht="31" customHeight="1">
      <c r="A300" s="56"/>
      <c r="B300" s="56"/>
      <c r="C300" s="56"/>
      <c r="D300" s="24" t="s">
        <v>735</v>
      </c>
      <c r="E300" s="42">
        <v>0</v>
      </c>
      <c r="F300" s="42">
        <v>0</v>
      </c>
      <c r="G300" s="42">
        <v>0</v>
      </c>
      <c r="H300" s="42">
        <v>0</v>
      </c>
      <c r="I300" s="42">
        <v>0</v>
      </c>
      <c r="J300" s="42"/>
      <c r="K300" s="42"/>
      <c r="L300" s="42"/>
      <c r="M300" s="150">
        <f t="shared" si="12"/>
        <v>0</v>
      </c>
      <c r="N300" s="45" t="s">
        <v>73</v>
      </c>
      <c r="O300" s="45" t="s">
        <v>334</v>
      </c>
      <c r="P300" s="289" t="s">
        <v>335</v>
      </c>
      <c r="Q300" s="290"/>
      <c r="R300" s="290"/>
      <c r="S300" s="290"/>
      <c r="T300" s="290"/>
      <c r="U300" s="290"/>
      <c r="V300" s="290"/>
      <c r="W300" s="290"/>
      <c r="X300" s="290"/>
      <c r="Y300" s="290"/>
      <c r="Z300" s="290"/>
      <c r="AA300" s="290"/>
      <c r="AB300" s="290"/>
      <c r="AC300" s="290"/>
      <c r="AD300" s="291"/>
    </row>
    <row r="301" spans="1:30" ht="16.5" customHeight="1">
      <c r="A301" s="56"/>
      <c r="B301" s="56"/>
      <c r="C301" s="56"/>
      <c r="D301" s="24" t="s">
        <v>736</v>
      </c>
      <c r="E301" s="42">
        <v>0</v>
      </c>
      <c r="F301" s="42">
        <v>0</v>
      </c>
      <c r="G301" s="42">
        <v>0</v>
      </c>
      <c r="H301" s="42">
        <v>0</v>
      </c>
      <c r="I301" s="42">
        <v>0</v>
      </c>
      <c r="J301" s="42"/>
      <c r="K301" s="42"/>
      <c r="L301" s="42"/>
      <c r="M301" s="150">
        <f t="shared" si="12"/>
        <v>0</v>
      </c>
      <c r="N301" s="45" t="s">
        <v>76</v>
      </c>
      <c r="O301" s="45" t="s">
        <v>722</v>
      </c>
      <c r="P301" s="289" t="s">
        <v>336</v>
      </c>
      <c r="Q301" s="290"/>
      <c r="R301" s="290"/>
      <c r="S301" s="290"/>
      <c r="T301" s="290"/>
      <c r="U301" s="290"/>
      <c r="V301" s="290"/>
      <c r="W301" s="290"/>
      <c r="X301" s="290"/>
      <c r="Y301" s="290"/>
      <c r="Z301" s="290"/>
      <c r="AA301" s="290"/>
      <c r="AB301" s="290"/>
      <c r="AC301" s="290"/>
      <c r="AD301" s="291"/>
    </row>
    <row r="302" spans="1:30" ht="31" customHeight="1">
      <c r="A302" s="56"/>
      <c r="B302" s="56"/>
      <c r="C302" s="56"/>
      <c r="D302" s="24" t="s">
        <v>737</v>
      </c>
      <c r="E302" s="42">
        <v>0</v>
      </c>
      <c r="F302" s="42">
        <v>0</v>
      </c>
      <c r="G302" s="42">
        <v>0</v>
      </c>
      <c r="H302" s="42">
        <v>0</v>
      </c>
      <c r="I302" s="42">
        <v>0</v>
      </c>
      <c r="J302" s="42"/>
      <c r="K302" s="42"/>
      <c r="L302" s="42"/>
      <c r="M302" s="150">
        <f t="shared" si="12"/>
        <v>0</v>
      </c>
      <c r="N302" s="45" t="s">
        <v>78</v>
      </c>
      <c r="O302" s="45" t="s">
        <v>723</v>
      </c>
      <c r="P302" s="289" t="s">
        <v>337</v>
      </c>
      <c r="Q302" s="290"/>
      <c r="R302" s="290"/>
      <c r="S302" s="290"/>
      <c r="T302" s="290"/>
      <c r="U302" s="290"/>
      <c r="V302" s="290"/>
      <c r="W302" s="290"/>
      <c r="X302" s="290"/>
      <c r="Y302" s="290"/>
      <c r="Z302" s="290"/>
      <c r="AA302" s="290"/>
      <c r="AB302" s="290"/>
      <c r="AC302" s="290"/>
      <c r="AD302" s="291"/>
    </row>
    <row r="303" spans="1:30" ht="16.5" customHeight="1">
      <c r="A303" s="56"/>
      <c r="B303" s="56"/>
      <c r="C303" s="56"/>
      <c r="D303" s="24" t="s">
        <v>738</v>
      </c>
      <c r="E303" s="42">
        <v>0</v>
      </c>
      <c r="F303" s="42">
        <v>0</v>
      </c>
      <c r="G303" s="42">
        <v>0</v>
      </c>
      <c r="H303" s="42">
        <v>0</v>
      </c>
      <c r="I303" s="42">
        <v>0</v>
      </c>
      <c r="J303" s="42">
        <v>0</v>
      </c>
      <c r="K303" s="42">
        <v>0</v>
      </c>
      <c r="L303" s="42">
        <v>0</v>
      </c>
      <c r="M303" s="150">
        <f t="shared" si="12"/>
        <v>0</v>
      </c>
      <c r="N303" s="45" t="s">
        <v>80</v>
      </c>
      <c r="O303" s="45" t="s">
        <v>724</v>
      </c>
      <c r="P303" s="289" t="s">
        <v>338</v>
      </c>
      <c r="Q303" s="290"/>
      <c r="R303" s="290"/>
      <c r="S303" s="290"/>
      <c r="T303" s="290"/>
      <c r="U303" s="290"/>
      <c r="V303" s="290"/>
      <c r="W303" s="290"/>
      <c r="X303" s="290"/>
      <c r="Y303" s="290"/>
      <c r="Z303" s="290"/>
      <c r="AA303" s="290"/>
      <c r="AB303" s="290"/>
      <c r="AC303" s="290"/>
      <c r="AD303" s="291"/>
    </row>
    <row r="304" spans="1:30" ht="16.5" customHeight="1">
      <c r="A304" s="56"/>
      <c r="B304" s="56"/>
      <c r="C304" s="56"/>
      <c r="D304" s="24" t="s">
        <v>739</v>
      </c>
      <c r="E304" s="42">
        <v>0</v>
      </c>
      <c r="F304" s="42">
        <v>0</v>
      </c>
      <c r="G304" s="42">
        <v>0</v>
      </c>
      <c r="H304" s="42">
        <v>0</v>
      </c>
      <c r="I304" s="42">
        <v>0</v>
      </c>
      <c r="J304" s="42">
        <v>0</v>
      </c>
      <c r="K304" s="42">
        <v>0</v>
      </c>
      <c r="L304" s="42">
        <v>0</v>
      </c>
      <c r="M304" s="150">
        <f t="shared" si="12"/>
        <v>0</v>
      </c>
      <c r="N304" s="45" t="s">
        <v>82</v>
      </c>
      <c r="O304" s="45" t="s">
        <v>725</v>
      </c>
      <c r="P304" s="289" t="s">
        <v>339</v>
      </c>
      <c r="Q304" s="290"/>
      <c r="R304" s="290"/>
      <c r="S304" s="290"/>
      <c r="T304" s="290"/>
      <c r="U304" s="290"/>
      <c r="V304" s="290"/>
      <c r="W304" s="290"/>
      <c r="X304" s="290"/>
      <c r="Y304" s="290"/>
      <c r="Z304" s="290"/>
      <c r="AA304" s="290"/>
      <c r="AB304" s="290"/>
      <c r="AC304" s="290"/>
      <c r="AD304" s="291"/>
    </row>
    <row r="305" spans="1:30" ht="16.5" customHeight="1">
      <c r="A305" s="56"/>
      <c r="B305" s="56"/>
      <c r="C305" s="56"/>
      <c r="D305" s="24" t="s">
        <v>740</v>
      </c>
      <c r="E305" s="42">
        <v>0</v>
      </c>
      <c r="F305" s="42">
        <v>0</v>
      </c>
      <c r="G305" s="42">
        <v>0</v>
      </c>
      <c r="H305" s="42">
        <v>0</v>
      </c>
      <c r="I305" s="42">
        <v>0</v>
      </c>
      <c r="J305" s="42">
        <v>0</v>
      </c>
      <c r="K305" s="42">
        <v>0</v>
      </c>
      <c r="L305" s="42">
        <v>0</v>
      </c>
      <c r="M305" s="150">
        <f t="shared" si="12"/>
        <v>0</v>
      </c>
      <c r="N305" s="45" t="s">
        <v>84</v>
      </c>
      <c r="O305" s="45" t="s">
        <v>726</v>
      </c>
      <c r="P305" s="14"/>
    </row>
    <row r="306" spans="1:30" ht="16.5" customHeight="1">
      <c r="A306" s="56"/>
      <c r="B306" s="56"/>
      <c r="C306" s="56"/>
      <c r="D306" s="24" t="s">
        <v>549</v>
      </c>
      <c r="E306" s="42">
        <v>0</v>
      </c>
      <c r="F306" s="42">
        <v>0</v>
      </c>
      <c r="G306" s="42">
        <v>0</v>
      </c>
      <c r="H306" s="42">
        <v>0</v>
      </c>
      <c r="I306" s="42">
        <v>0</v>
      </c>
      <c r="J306" s="42">
        <v>0</v>
      </c>
      <c r="K306" s="42">
        <v>0</v>
      </c>
      <c r="L306" s="42">
        <v>0</v>
      </c>
      <c r="M306" s="150">
        <f t="shared" si="12"/>
        <v>0</v>
      </c>
      <c r="N306" s="45" t="s">
        <v>86</v>
      </c>
      <c r="O306" s="45" t="s">
        <v>727</v>
      </c>
      <c r="P306" s="14"/>
    </row>
    <row r="307" spans="1:30" ht="86" customHeight="1">
      <c r="A307" s="56"/>
      <c r="B307" s="56"/>
      <c r="C307" s="56"/>
      <c r="D307" s="24" t="s">
        <v>741</v>
      </c>
      <c r="E307" s="42">
        <v>0</v>
      </c>
      <c r="F307" s="42">
        <v>0</v>
      </c>
      <c r="G307" s="42">
        <v>0</v>
      </c>
      <c r="H307" s="42">
        <v>0</v>
      </c>
      <c r="I307" s="42">
        <v>0</v>
      </c>
      <c r="J307" s="42">
        <v>0</v>
      </c>
      <c r="K307" s="42">
        <v>0</v>
      </c>
      <c r="L307" s="42">
        <v>0</v>
      </c>
      <c r="M307" s="150">
        <f t="shared" si="12"/>
        <v>0</v>
      </c>
      <c r="N307" s="45" t="s">
        <v>88</v>
      </c>
      <c r="O307" s="45" t="s">
        <v>340</v>
      </c>
      <c r="P307" s="289" t="s">
        <v>341</v>
      </c>
      <c r="Q307" s="290"/>
      <c r="R307" s="290"/>
      <c r="S307" s="290"/>
      <c r="T307" s="290"/>
      <c r="U307" s="290"/>
      <c r="V307" s="290"/>
      <c r="W307" s="290"/>
      <c r="X307" s="290"/>
      <c r="Y307" s="290"/>
      <c r="Z307" s="290"/>
      <c r="AA307" s="290"/>
      <c r="AB307" s="290"/>
      <c r="AC307" s="290"/>
      <c r="AD307" s="291"/>
    </row>
    <row r="308" spans="1:30" ht="71.5" customHeight="1">
      <c r="A308" s="56"/>
      <c r="B308" s="56"/>
      <c r="C308" s="56"/>
      <c r="D308" s="24" t="s">
        <v>742</v>
      </c>
      <c r="E308" s="42">
        <v>0</v>
      </c>
      <c r="F308" s="42">
        <v>0</v>
      </c>
      <c r="G308" s="42">
        <v>0</v>
      </c>
      <c r="H308" s="42">
        <v>0</v>
      </c>
      <c r="I308" s="42">
        <v>0</v>
      </c>
      <c r="J308" s="42">
        <v>0</v>
      </c>
      <c r="K308" s="42">
        <v>0</v>
      </c>
      <c r="L308" s="42">
        <v>0</v>
      </c>
      <c r="M308" s="150">
        <f t="shared" si="12"/>
        <v>0</v>
      </c>
      <c r="N308" s="45" t="s">
        <v>90</v>
      </c>
      <c r="O308" s="45" t="s">
        <v>728</v>
      </c>
      <c r="P308" s="289" t="s">
        <v>342</v>
      </c>
      <c r="Q308" s="290"/>
      <c r="R308" s="290"/>
      <c r="S308" s="290"/>
      <c r="T308" s="290"/>
      <c r="U308" s="290"/>
      <c r="V308" s="290"/>
      <c r="W308" s="290"/>
      <c r="X308" s="290"/>
      <c r="Y308" s="290"/>
      <c r="Z308" s="290"/>
      <c r="AA308" s="290"/>
      <c r="AB308" s="290"/>
      <c r="AC308" s="290"/>
      <c r="AD308" s="291"/>
    </row>
    <row r="309" spans="1:30" ht="16.5" customHeight="1">
      <c r="A309" s="56"/>
      <c r="B309" s="56"/>
      <c r="C309" s="56"/>
      <c r="D309" s="24" t="s">
        <v>743</v>
      </c>
      <c r="E309" s="42">
        <v>0</v>
      </c>
      <c r="F309" s="42">
        <v>0</v>
      </c>
      <c r="G309" s="42">
        <v>0</v>
      </c>
      <c r="H309" s="42">
        <v>0</v>
      </c>
      <c r="I309" s="42">
        <v>0</v>
      </c>
      <c r="J309" s="42">
        <v>0</v>
      </c>
      <c r="K309" s="42">
        <v>0</v>
      </c>
      <c r="L309" s="42">
        <v>0</v>
      </c>
      <c r="M309" s="150">
        <f t="shared" si="12"/>
        <v>0</v>
      </c>
      <c r="N309" s="45" t="s">
        <v>92</v>
      </c>
      <c r="O309" s="45" t="s">
        <v>344</v>
      </c>
      <c r="P309" s="14"/>
    </row>
    <row r="310" spans="1:30" ht="31">
      <c r="A310" s="56"/>
      <c r="B310" s="56"/>
      <c r="C310" s="56"/>
      <c r="D310" s="24" t="s">
        <v>744</v>
      </c>
      <c r="E310" s="42">
        <v>0</v>
      </c>
      <c r="F310" s="42">
        <v>0</v>
      </c>
      <c r="G310" s="42">
        <v>0</v>
      </c>
      <c r="H310" s="42">
        <v>0</v>
      </c>
      <c r="I310" s="42">
        <v>0</v>
      </c>
      <c r="J310" s="42"/>
      <c r="K310" s="42"/>
      <c r="L310" s="42"/>
      <c r="M310" s="150">
        <f t="shared" si="12"/>
        <v>0</v>
      </c>
      <c r="N310" s="45" t="s">
        <v>91</v>
      </c>
      <c r="O310" s="45" t="s">
        <v>729</v>
      </c>
      <c r="P310" s="289" t="s">
        <v>345</v>
      </c>
      <c r="Q310" s="290"/>
      <c r="R310" s="290"/>
      <c r="S310" s="290"/>
      <c r="T310" s="290"/>
      <c r="U310" s="290"/>
      <c r="V310" s="290"/>
      <c r="W310" s="290"/>
      <c r="X310" s="290"/>
      <c r="Y310" s="290"/>
      <c r="Z310" s="290"/>
      <c r="AA310" s="290"/>
      <c r="AB310" s="290"/>
      <c r="AC310" s="290"/>
      <c r="AD310" s="291"/>
    </row>
    <row r="311" spans="1:30" ht="16.5" customHeight="1" thickBot="1">
      <c r="A311" s="56"/>
      <c r="B311" s="56"/>
      <c r="C311" s="56"/>
      <c r="D311" s="176" t="s">
        <v>347</v>
      </c>
      <c r="E311" s="171">
        <f t="shared" ref="E311:M311" si="13">+E292+SUM(E294:E310)</f>
        <v>23456</v>
      </c>
      <c r="F311" s="171">
        <f t="shared" si="13"/>
        <v>0</v>
      </c>
      <c r="G311" s="171">
        <f>+G292+SUM(G294:G310)</f>
        <v>0</v>
      </c>
      <c r="H311" s="171">
        <f t="shared" si="13"/>
        <v>0</v>
      </c>
      <c r="I311" s="171">
        <f t="shared" si="13"/>
        <v>0</v>
      </c>
      <c r="J311" s="171">
        <f t="shared" si="13"/>
        <v>0</v>
      </c>
      <c r="K311" s="171">
        <f t="shared" si="13"/>
        <v>0</v>
      </c>
      <c r="L311" s="171">
        <f t="shared" si="13"/>
        <v>0</v>
      </c>
      <c r="M311" s="164">
        <f t="shared" si="13"/>
        <v>23456</v>
      </c>
      <c r="N311" s="45" t="s">
        <v>14</v>
      </c>
      <c r="O311" s="45" t="s">
        <v>346</v>
      </c>
    </row>
    <row r="312" spans="1:30" ht="16" thickBot="1">
      <c r="A312" s="56"/>
      <c r="B312" s="56"/>
      <c r="C312" s="56"/>
      <c r="D312" s="7"/>
      <c r="E312" s="7"/>
      <c r="F312" s="7"/>
      <c r="G312" s="7"/>
      <c r="H312" s="7"/>
      <c r="I312" s="7"/>
      <c r="J312" s="7"/>
      <c r="K312" s="7"/>
    </row>
    <row r="313" spans="1:30" ht="16" thickBot="1">
      <c r="A313" s="56"/>
      <c r="B313" s="56"/>
      <c r="C313" s="56"/>
      <c r="D313" s="296" t="s">
        <v>745</v>
      </c>
      <c r="E313" s="297" t="s">
        <v>102</v>
      </c>
      <c r="F313" s="297"/>
      <c r="G313" s="297"/>
      <c r="H313" s="297"/>
      <c r="I313" s="297"/>
      <c r="J313" s="297"/>
      <c r="K313" s="297"/>
      <c r="L313" s="297"/>
      <c r="M313" s="298"/>
      <c r="N313" s="45"/>
      <c r="O313" s="45" t="s">
        <v>348</v>
      </c>
    </row>
    <row r="314" spans="1:30">
      <c r="A314" s="56"/>
      <c r="B314" s="56"/>
      <c r="C314" s="56"/>
      <c r="D314" s="168" t="s">
        <v>713</v>
      </c>
      <c r="E314" s="169" t="str">
        <f>+E291</f>
        <v>Nord Stream AG (PE Russia)</v>
      </c>
      <c r="F314" s="169">
        <f t="shared" ref="F314:L314" si="14">+F291</f>
        <v>0</v>
      </c>
      <c r="G314" s="169">
        <f t="shared" si="14"/>
        <v>0</v>
      </c>
      <c r="H314" s="169">
        <f t="shared" si="14"/>
        <v>0</v>
      </c>
      <c r="I314" s="169">
        <f t="shared" si="14"/>
        <v>0</v>
      </c>
      <c r="J314" s="169">
        <f t="shared" si="14"/>
        <v>0</v>
      </c>
      <c r="K314" s="169">
        <f t="shared" si="14"/>
        <v>0</v>
      </c>
      <c r="L314" s="169">
        <f t="shared" si="14"/>
        <v>0</v>
      </c>
      <c r="M314" s="170" t="str">
        <f>+M291</f>
        <v>Total amount</v>
      </c>
      <c r="N314" s="45" t="s">
        <v>245</v>
      </c>
      <c r="O314" s="45" t="s">
        <v>349</v>
      </c>
    </row>
    <row r="315" spans="1:30">
      <c r="A315" s="56"/>
      <c r="B315" s="56"/>
      <c r="C315" s="56"/>
      <c r="D315" s="161" t="s">
        <v>746</v>
      </c>
      <c r="E315" s="42">
        <v>23456</v>
      </c>
      <c r="F315" s="42">
        <v>0</v>
      </c>
      <c r="G315" s="42">
        <v>0</v>
      </c>
      <c r="H315" s="42">
        <v>0</v>
      </c>
      <c r="I315" s="42">
        <v>0</v>
      </c>
      <c r="J315" s="42">
        <v>0</v>
      </c>
      <c r="K315" s="42"/>
      <c r="L315" s="42"/>
      <c r="M315" s="150">
        <f>SUM(E315:L315)</f>
        <v>23456</v>
      </c>
      <c r="N315" s="45"/>
      <c r="O315" s="45" t="s">
        <v>350</v>
      </c>
    </row>
    <row r="316" spans="1:30">
      <c r="A316" s="56"/>
      <c r="B316" s="56"/>
      <c r="C316" s="56"/>
      <c r="D316" s="177" t="s">
        <v>710</v>
      </c>
      <c r="E316" s="42"/>
      <c r="F316" s="42"/>
      <c r="G316" s="42"/>
      <c r="H316" s="42"/>
      <c r="I316" s="42"/>
      <c r="J316" s="42"/>
      <c r="K316" s="42"/>
      <c r="L316" s="42"/>
      <c r="M316" s="150"/>
      <c r="N316" s="45" t="s">
        <v>289</v>
      </c>
      <c r="O316" s="45" t="s">
        <v>351</v>
      </c>
    </row>
    <row r="317" spans="1:30">
      <c r="A317" s="56"/>
      <c r="B317" s="56"/>
      <c r="C317" s="56"/>
      <c r="D317" s="161" t="s">
        <v>701</v>
      </c>
      <c r="E317" s="42" t="s">
        <v>714</v>
      </c>
      <c r="F317" s="42" t="s">
        <v>714</v>
      </c>
      <c r="G317" s="42" t="s">
        <v>714</v>
      </c>
      <c r="H317" s="42" t="s">
        <v>714</v>
      </c>
      <c r="I317" s="42" t="s">
        <v>714</v>
      </c>
      <c r="J317" s="42" t="s">
        <v>714</v>
      </c>
      <c r="K317" s="42" t="s">
        <v>714</v>
      </c>
      <c r="L317" s="42" t="s">
        <v>714</v>
      </c>
      <c r="M317" s="150"/>
      <c r="N317" s="45" t="s">
        <v>291</v>
      </c>
      <c r="O317" s="45" t="s">
        <v>352</v>
      </c>
    </row>
    <row r="318" spans="1:30">
      <c r="A318" s="56"/>
      <c r="B318" s="56"/>
      <c r="C318" s="56"/>
      <c r="D318" s="161" t="s">
        <v>702</v>
      </c>
      <c r="E318" s="42" t="s">
        <v>716</v>
      </c>
      <c r="F318" s="42" t="s">
        <v>716</v>
      </c>
      <c r="G318" s="42" t="s">
        <v>716</v>
      </c>
      <c r="H318" s="42" t="s">
        <v>716</v>
      </c>
      <c r="I318" s="42" t="s">
        <v>716</v>
      </c>
      <c r="J318" s="42" t="s">
        <v>716</v>
      </c>
      <c r="K318" s="42" t="s">
        <v>716</v>
      </c>
      <c r="L318" s="42" t="s">
        <v>716</v>
      </c>
      <c r="M318" s="150"/>
      <c r="N318" s="45" t="s">
        <v>293</v>
      </c>
      <c r="O318" s="45" t="s">
        <v>353</v>
      </c>
    </row>
    <row r="319" spans="1:30">
      <c r="A319" s="56"/>
      <c r="B319" s="56"/>
      <c r="C319" s="56"/>
      <c r="D319" s="161" t="s">
        <v>703</v>
      </c>
      <c r="E319" s="42">
        <v>0</v>
      </c>
      <c r="F319" s="42">
        <v>0</v>
      </c>
      <c r="G319" s="42">
        <v>0</v>
      </c>
      <c r="H319" s="42">
        <v>0</v>
      </c>
      <c r="I319" s="42">
        <v>0</v>
      </c>
      <c r="J319" s="42"/>
      <c r="K319" s="42"/>
      <c r="L319" s="42"/>
      <c r="M319" s="150">
        <f>SUM(E319:L319)</f>
        <v>0</v>
      </c>
      <c r="N319" s="45" t="s">
        <v>295</v>
      </c>
      <c r="O319" s="45" t="s">
        <v>354</v>
      </c>
    </row>
    <row r="320" spans="1:30">
      <c r="A320" s="56"/>
      <c r="B320" s="56"/>
      <c r="C320" s="56"/>
      <c r="D320" s="161" t="s">
        <v>704</v>
      </c>
      <c r="E320" s="42">
        <v>0</v>
      </c>
      <c r="F320" s="42">
        <v>0</v>
      </c>
      <c r="G320" s="42">
        <v>0</v>
      </c>
      <c r="H320" s="42">
        <v>0</v>
      </c>
      <c r="I320" s="42">
        <v>0</v>
      </c>
      <c r="J320" s="42"/>
      <c r="K320" s="42"/>
      <c r="L320" s="42"/>
      <c r="M320" s="150">
        <f>SUM(E320:L320)</f>
        <v>0</v>
      </c>
      <c r="N320" s="45" t="s">
        <v>297</v>
      </c>
      <c r="O320" s="45" t="s">
        <v>355</v>
      </c>
    </row>
    <row r="321" spans="1:30" ht="16" thickBot="1">
      <c r="A321" s="56"/>
      <c r="B321" s="56"/>
      <c r="C321" s="56"/>
      <c r="D321" s="178" t="s">
        <v>747</v>
      </c>
      <c r="E321" s="179">
        <f>+E315+E319+E320</f>
        <v>23456</v>
      </c>
      <c r="F321" s="179">
        <f t="shared" ref="F321:L321" si="15">+F315+F319+F320</f>
        <v>0</v>
      </c>
      <c r="G321" s="179">
        <f t="shared" si="15"/>
        <v>0</v>
      </c>
      <c r="H321" s="179">
        <f t="shared" si="15"/>
        <v>0</v>
      </c>
      <c r="I321" s="179">
        <f t="shared" si="15"/>
        <v>0</v>
      </c>
      <c r="J321" s="179">
        <f t="shared" si="15"/>
        <v>0</v>
      </c>
      <c r="K321" s="179">
        <f t="shared" si="15"/>
        <v>0</v>
      </c>
      <c r="L321" s="179">
        <f t="shared" si="15"/>
        <v>0</v>
      </c>
      <c r="M321" s="180">
        <f>+M315+M319+M320</f>
        <v>23456</v>
      </c>
      <c r="N321" s="45" t="s">
        <v>323</v>
      </c>
      <c r="O321" s="45"/>
    </row>
    <row r="322" spans="1:30" ht="16" thickBot="1">
      <c r="A322" s="56"/>
      <c r="B322" s="56"/>
      <c r="C322" s="56"/>
      <c r="D322" s="7"/>
      <c r="E322" s="7"/>
      <c r="F322" s="7"/>
      <c r="G322" s="7"/>
      <c r="H322" s="7"/>
      <c r="I322" s="7"/>
      <c r="J322" s="7"/>
      <c r="K322" s="7"/>
    </row>
    <row r="323" spans="1:30" ht="16" thickBot="1">
      <c r="A323" s="56"/>
      <c r="B323" s="56"/>
      <c r="C323" s="56"/>
      <c r="D323" s="296" t="s">
        <v>808</v>
      </c>
      <c r="E323" s="297"/>
      <c r="F323" s="297"/>
      <c r="G323" s="297"/>
      <c r="H323" s="297"/>
      <c r="I323" s="297"/>
      <c r="J323" s="297"/>
      <c r="K323" s="297"/>
      <c r="L323" s="297"/>
      <c r="M323" s="298"/>
      <c r="N323" s="45"/>
      <c r="O323" s="45" t="s">
        <v>356</v>
      </c>
    </row>
    <row r="324" spans="1:30">
      <c r="A324" s="56"/>
      <c r="B324" s="56"/>
      <c r="C324" s="56"/>
      <c r="D324" s="174" t="s">
        <v>247</v>
      </c>
      <c r="E324" s="169" t="str">
        <f>+E314</f>
        <v>Nord Stream AG (PE Russia)</v>
      </c>
      <c r="F324" s="169">
        <f t="shared" ref="F324:M324" si="16">+F314</f>
        <v>0</v>
      </c>
      <c r="G324" s="169">
        <f t="shared" si="16"/>
        <v>0</v>
      </c>
      <c r="H324" s="169">
        <f t="shared" si="16"/>
        <v>0</v>
      </c>
      <c r="I324" s="169">
        <f t="shared" si="16"/>
        <v>0</v>
      </c>
      <c r="J324" s="169">
        <f t="shared" si="16"/>
        <v>0</v>
      </c>
      <c r="K324" s="169">
        <f t="shared" si="16"/>
        <v>0</v>
      </c>
      <c r="L324" s="169">
        <f t="shared" si="16"/>
        <v>0</v>
      </c>
      <c r="M324" s="170" t="str">
        <f t="shared" si="16"/>
        <v>Total amount</v>
      </c>
      <c r="N324" s="45" t="s">
        <v>245</v>
      </c>
      <c r="O324" s="45" t="s">
        <v>357</v>
      </c>
    </row>
    <row r="325" spans="1:30">
      <c r="A325" s="56"/>
      <c r="B325" s="56"/>
      <c r="C325" s="56"/>
      <c r="D325" s="175" t="s">
        <v>765</v>
      </c>
      <c r="E325" s="42">
        <v>65443</v>
      </c>
      <c r="F325" s="42">
        <v>0</v>
      </c>
      <c r="G325" s="42">
        <v>0</v>
      </c>
      <c r="H325" s="42">
        <v>0</v>
      </c>
      <c r="I325" s="42">
        <v>0</v>
      </c>
      <c r="J325" s="42"/>
      <c r="K325" s="42"/>
      <c r="L325" s="42"/>
      <c r="M325" s="150">
        <f>SUM(E325:L325)</f>
        <v>65443</v>
      </c>
      <c r="N325" s="45" t="s">
        <v>118</v>
      </c>
      <c r="O325" s="45" t="s">
        <v>358</v>
      </c>
    </row>
    <row r="326" spans="1:30">
      <c r="A326" s="56"/>
      <c r="B326" s="56"/>
      <c r="C326" s="56"/>
      <c r="D326" s="300" t="s">
        <v>766</v>
      </c>
      <c r="E326" s="301"/>
      <c r="F326" s="301"/>
      <c r="G326" s="301"/>
      <c r="H326" s="301"/>
      <c r="I326" s="301"/>
      <c r="J326" s="301"/>
      <c r="K326" s="301"/>
      <c r="L326" s="375"/>
      <c r="M326" s="183"/>
      <c r="N326" s="45" t="s">
        <v>137</v>
      </c>
      <c r="O326" s="45" t="s">
        <v>359</v>
      </c>
    </row>
    <row r="327" spans="1:30" ht="33" customHeight="1">
      <c r="A327" s="56"/>
      <c r="B327" s="56"/>
      <c r="C327" s="56"/>
      <c r="D327" s="23" t="s">
        <v>592</v>
      </c>
      <c r="E327" s="42">
        <v>0</v>
      </c>
      <c r="F327" s="42">
        <v>0</v>
      </c>
      <c r="G327" s="42">
        <v>0</v>
      </c>
      <c r="H327" s="42">
        <v>0</v>
      </c>
      <c r="I327" s="42">
        <v>0</v>
      </c>
      <c r="J327" s="42"/>
      <c r="K327" s="42"/>
      <c r="L327" s="42"/>
      <c r="M327" s="150">
        <f t="shared" ref="M327:M342" si="17">SUM(E327:L327)</f>
        <v>0</v>
      </c>
      <c r="N327" s="45" t="s">
        <v>141</v>
      </c>
      <c r="O327" s="45" t="s">
        <v>749</v>
      </c>
      <c r="P327" s="372" t="s">
        <v>360</v>
      </c>
      <c r="Q327" s="373"/>
      <c r="R327" s="373"/>
      <c r="S327" s="373"/>
      <c r="T327" s="373"/>
      <c r="U327" s="373"/>
      <c r="V327" s="373"/>
      <c r="W327" s="373"/>
      <c r="X327" s="373"/>
      <c r="Y327" s="373"/>
      <c r="Z327" s="373"/>
      <c r="AA327" s="373"/>
      <c r="AB327" s="373"/>
      <c r="AC327" s="373"/>
      <c r="AD327" s="374"/>
    </row>
    <row r="328" spans="1:30" ht="28" customHeight="1">
      <c r="A328" s="56"/>
      <c r="B328" s="56"/>
      <c r="C328" s="56"/>
      <c r="D328" s="23" t="s">
        <v>604</v>
      </c>
      <c r="E328" s="42">
        <v>0</v>
      </c>
      <c r="F328" s="42">
        <v>0</v>
      </c>
      <c r="G328" s="42">
        <v>0</v>
      </c>
      <c r="H328" s="42">
        <v>0</v>
      </c>
      <c r="I328" s="42">
        <v>0</v>
      </c>
      <c r="J328" s="42"/>
      <c r="K328" s="42"/>
      <c r="L328" s="42"/>
      <c r="M328" s="150">
        <f t="shared" si="17"/>
        <v>0</v>
      </c>
      <c r="N328" s="45" t="s">
        <v>142</v>
      </c>
      <c r="O328" s="45" t="s">
        <v>750</v>
      </c>
      <c r="P328" s="372" t="s">
        <v>748</v>
      </c>
      <c r="Q328" s="373"/>
      <c r="R328" s="373"/>
      <c r="S328" s="373"/>
      <c r="T328" s="373"/>
      <c r="U328" s="373"/>
      <c r="V328" s="373"/>
      <c r="W328" s="373"/>
      <c r="X328" s="373"/>
      <c r="Y328" s="373"/>
      <c r="Z328" s="373"/>
      <c r="AA328" s="373"/>
      <c r="AB328" s="373"/>
      <c r="AC328" s="373"/>
      <c r="AD328" s="374"/>
    </row>
    <row r="329" spans="1:30" ht="15.5" customHeight="1">
      <c r="A329" s="56"/>
      <c r="B329" s="56"/>
      <c r="C329" s="56"/>
      <c r="D329" s="23" t="s">
        <v>605</v>
      </c>
      <c r="E329" s="42">
        <v>0</v>
      </c>
      <c r="F329" s="42">
        <v>0</v>
      </c>
      <c r="G329" s="42">
        <v>0</v>
      </c>
      <c r="H329" s="42">
        <v>0</v>
      </c>
      <c r="I329" s="42">
        <v>0</v>
      </c>
      <c r="J329" s="42"/>
      <c r="K329" s="42"/>
      <c r="L329" s="42"/>
      <c r="M329" s="150">
        <f t="shared" si="17"/>
        <v>0</v>
      </c>
      <c r="N329" s="45" t="s">
        <v>143</v>
      </c>
      <c r="O329" s="45" t="s">
        <v>751</v>
      </c>
      <c r="P329" s="372" t="s">
        <v>748</v>
      </c>
      <c r="Q329" s="373"/>
      <c r="R329" s="373"/>
      <c r="S329" s="373"/>
      <c r="T329" s="373"/>
      <c r="U329" s="373"/>
      <c r="V329" s="373"/>
      <c r="W329" s="373"/>
      <c r="X329" s="373"/>
      <c r="Y329" s="373"/>
      <c r="Z329" s="373"/>
      <c r="AA329" s="373"/>
      <c r="AB329" s="373"/>
      <c r="AC329" s="373"/>
      <c r="AD329" s="374"/>
    </row>
    <row r="330" spans="1:30" ht="15.5" customHeight="1">
      <c r="A330" s="56"/>
      <c r="B330" s="56"/>
      <c r="C330" s="56"/>
      <c r="D330" s="23" t="s">
        <v>593</v>
      </c>
      <c r="E330" s="42">
        <v>0</v>
      </c>
      <c r="F330" s="42">
        <v>0</v>
      </c>
      <c r="G330" s="42">
        <v>0</v>
      </c>
      <c r="H330" s="42">
        <v>0</v>
      </c>
      <c r="I330" s="42">
        <v>0</v>
      </c>
      <c r="J330" s="42"/>
      <c r="K330" s="42"/>
      <c r="L330" s="42"/>
      <c r="M330" s="150">
        <f t="shared" si="17"/>
        <v>0</v>
      </c>
      <c r="N330" s="45" t="s">
        <v>144</v>
      </c>
      <c r="O330" s="45" t="s">
        <v>752</v>
      </c>
      <c r="P330" s="372" t="s">
        <v>361</v>
      </c>
      <c r="Q330" s="373"/>
      <c r="R330" s="373"/>
      <c r="S330" s="373"/>
      <c r="T330" s="373"/>
      <c r="U330" s="373"/>
      <c r="V330" s="373"/>
      <c r="W330" s="373"/>
      <c r="X330" s="373"/>
      <c r="Y330" s="373"/>
      <c r="Z330" s="373"/>
      <c r="AA330" s="373"/>
      <c r="AB330" s="373"/>
      <c r="AC330" s="373"/>
      <c r="AD330" s="374"/>
    </row>
    <row r="331" spans="1:30" ht="15.5" customHeight="1">
      <c r="A331" s="56"/>
      <c r="B331" s="56"/>
      <c r="C331" s="56"/>
      <c r="D331" s="23" t="s">
        <v>594</v>
      </c>
      <c r="E331" s="42">
        <v>0</v>
      </c>
      <c r="F331" s="42">
        <v>0</v>
      </c>
      <c r="G331" s="42">
        <v>0</v>
      </c>
      <c r="H331" s="42">
        <v>0</v>
      </c>
      <c r="I331" s="42">
        <v>0</v>
      </c>
      <c r="J331" s="42"/>
      <c r="K331" s="42"/>
      <c r="L331" s="42"/>
      <c r="M331" s="150">
        <f t="shared" si="17"/>
        <v>0</v>
      </c>
      <c r="N331" s="45" t="s">
        <v>145</v>
      </c>
      <c r="O331" s="45" t="s">
        <v>753</v>
      </c>
      <c r="P331" s="372" t="s">
        <v>362</v>
      </c>
      <c r="Q331" s="373"/>
      <c r="R331" s="373"/>
      <c r="S331" s="373"/>
      <c r="T331" s="373"/>
      <c r="U331" s="373"/>
      <c r="V331" s="373"/>
      <c r="W331" s="373"/>
      <c r="X331" s="373"/>
      <c r="Y331" s="373"/>
      <c r="Z331" s="373"/>
      <c r="AA331" s="373"/>
      <c r="AB331" s="373"/>
      <c r="AC331" s="373"/>
      <c r="AD331" s="374"/>
    </row>
    <row r="332" spans="1:30" ht="31" customHeight="1">
      <c r="A332" s="56"/>
      <c r="B332" s="56"/>
      <c r="C332" s="56"/>
      <c r="D332" s="23" t="s">
        <v>595</v>
      </c>
      <c r="E332" s="42">
        <v>0</v>
      </c>
      <c r="F332" s="42">
        <v>0</v>
      </c>
      <c r="G332" s="42">
        <v>0</v>
      </c>
      <c r="H332" s="42">
        <v>0</v>
      </c>
      <c r="I332" s="42">
        <v>0</v>
      </c>
      <c r="J332" s="42"/>
      <c r="K332" s="42"/>
      <c r="L332" s="42"/>
      <c r="M332" s="150">
        <f t="shared" si="17"/>
        <v>0</v>
      </c>
      <c r="N332" s="45" t="s">
        <v>146</v>
      </c>
      <c r="O332" s="45" t="s">
        <v>754</v>
      </c>
      <c r="P332" s="325" t="s">
        <v>363</v>
      </c>
      <c r="Q332" s="326"/>
      <c r="R332" s="326"/>
      <c r="S332" s="326"/>
      <c r="T332" s="326"/>
      <c r="U332" s="326"/>
      <c r="V332" s="326"/>
      <c r="W332" s="326"/>
      <c r="X332" s="326"/>
      <c r="Y332" s="326"/>
      <c r="Z332" s="326"/>
      <c r="AA332" s="326"/>
      <c r="AB332" s="326"/>
      <c r="AC332" s="326"/>
      <c r="AD332" s="327"/>
    </row>
    <row r="333" spans="1:30" ht="88.5" customHeight="1">
      <c r="A333" s="56"/>
      <c r="B333" s="56"/>
      <c r="C333" s="56"/>
      <c r="D333" s="23" t="s">
        <v>596</v>
      </c>
      <c r="E333" s="42">
        <v>0</v>
      </c>
      <c r="F333" s="42">
        <v>0</v>
      </c>
      <c r="G333" s="42">
        <v>0</v>
      </c>
      <c r="H333" s="42">
        <v>0</v>
      </c>
      <c r="I333" s="42">
        <v>0</v>
      </c>
      <c r="J333" s="42"/>
      <c r="K333" s="42"/>
      <c r="L333" s="42"/>
      <c r="M333" s="150">
        <f t="shared" si="17"/>
        <v>0</v>
      </c>
      <c r="N333" s="45" t="s">
        <v>148</v>
      </c>
      <c r="O333" s="45" t="s">
        <v>755</v>
      </c>
      <c r="P333" s="325" t="s">
        <v>364</v>
      </c>
      <c r="Q333" s="326"/>
      <c r="R333" s="326"/>
      <c r="S333" s="326"/>
      <c r="T333" s="326"/>
      <c r="U333" s="326"/>
      <c r="V333" s="326"/>
      <c r="W333" s="326"/>
      <c r="X333" s="326"/>
      <c r="Y333" s="326"/>
      <c r="Z333" s="326"/>
      <c r="AA333" s="326"/>
      <c r="AB333" s="326"/>
      <c r="AC333" s="326"/>
      <c r="AD333" s="327"/>
    </row>
    <row r="334" spans="1:30" ht="33" customHeight="1">
      <c r="A334" s="56"/>
      <c r="B334" s="56"/>
      <c r="C334" s="56"/>
      <c r="D334" s="23" t="s">
        <v>597</v>
      </c>
      <c r="E334" s="42">
        <v>0</v>
      </c>
      <c r="F334" s="42">
        <v>0</v>
      </c>
      <c r="G334" s="42">
        <v>0</v>
      </c>
      <c r="H334" s="42">
        <v>0</v>
      </c>
      <c r="I334" s="42">
        <v>0</v>
      </c>
      <c r="J334" s="42"/>
      <c r="K334" s="42"/>
      <c r="L334" s="42"/>
      <c r="M334" s="150">
        <f t="shared" si="17"/>
        <v>0</v>
      </c>
      <c r="N334" s="45" t="s">
        <v>150</v>
      </c>
      <c r="O334" s="45" t="s">
        <v>756</v>
      </c>
      <c r="P334" s="325" t="s">
        <v>365</v>
      </c>
      <c r="Q334" s="326"/>
      <c r="R334" s="326"/>
      <c r="S334" s="326"/>
      <c r="T334" s="326"/>
      <c r="U334" s="326"/>
      <c r="V334" s="326"/>
      <c r="W334" s="326"/>
      <c r="X334" s="326"/>
      <c r="Y334" s="326"/>
      <c r="Z334" s="326"/>
      <c r="AA334" s="326"/>
      <c r="AB334" s="326"/>
      <c r="AC334" s="326"/>
      <c r="AD334" s="327"/>
    </row>
    <row r="335" spans="1:30" ht="15.5" customHeight="1">
      <c r="A335" s="56"/>
      <c r="B335" s="56"/>
      <c r="C335" s="56"/>
      <c r="D335" s="23" t="s">
        <v>598</v>
      </c>
      <c r="E335" s="42">
        <v>0</v>
      </c>
      <c r="F335" s="42">
        <v>0</v>
      </c>
      <c r="G335" s="42">
        <v>0</v>
      </c>
      <c r="H335" s="42">
        <v>0</v>
      </c>
      <c r="I335" s="42">
        <v>0</v>
      </c>
      <c r="J335" s="42">
        <v>0</v>
      </c>
      <c r="K335" s="42">
        <v>0</v>
      </c>
      <c r="L335" s="42">
        <v>0</v>
      </c>
      <c r="M335" s="150">
        <f t="shared" si="17"/>
        <v>0</v>
      </c>
      <c r="N335" s="45" t="s">
        <v>151</v>
      </c>
      <c r="O335" s="45" t="s">
        <v>757</v>
      </c>
      <c r="P335" s="325" t="s">
        <v>366</v>
      </c>
      <c r="Q335" s="326"/>
      <c r="R335" s="326"/>
      <c r="S335" s="326"/>
      <c r="T335" s="326"/>
      <c r="U335" s="326"/>
      <c r="V335" s="326"/>
      <c r="W335" s="326"/>
      <c r="X335" s="326"/>
      <c r="Y335" s="326"/>
      <c r="Z335" s="326"/>
      <c r="AA335" s="326"/>
      <c r="AB335" s="326"/>
      <c r="AC335" s="326"/>
      <c r="AD335" s="327"/>
    </row>
    <row r="336" spans="1:30" ht="48" customHeight="1">
      <c r="A336" s="56"/>
      <c r="B336" s="56"/>
      <c r="C336" s="56"/>
      <c r="D336" s="23" t="s">
        <v>599</v>
      </c>
      <c r="E336" s="42">
        <v>0</v>
      </c>
      <c r="F336" s="42">
        <v>0</v>
      </c>
      <c r="G336" s="42">
        <v>0</v>
      </c>
      <c r="H336" s="42">
        <v>0</v>
      </c>
      <c r="I336" s="42">
        <v>0</v>
      </c>
      <c r="J336" s="42"/>
      <c r="K336" s="42"/>
      <c r="L336" s="42"/>
      <c r="M336" s="150">
        <f t="shared" si="17"/>
        <v>0</v>
      </c>
      <c r="N336" s="45" t="s">
        <v>152</v>
      </c>
      <c r="O336" s="45" t="s">
        <v>758</v>
      </c>
      <c r="P336" s="325" t="s">
        <v>367</v>
      </c>
      <c r="Q336" s="326"/>
      <c r="R336" s="326"/>
      <c r="S336" s="326"/>
      <c r="T336" s="326"/>
      <c r="U336" s="326"/>
      <c r="V336" s="326"/>
      <c r="W336" s="326"/>
      <c r="X336" s="326"/>
      <c r="Y336" s="326"/>
      <c r="Z336" s="326"/>
      <c r="AA336" s="326"/>
      <c r="AB336" s="326"/>
      <c r="AC336" s="326"/>
      <c r="AD336" s="327"/>
    </row>
    <row r="337" spans="1:30" ht="30.5" customHeight="1">
      <c r="A337" s="56"/>
      <c r="B337" s="56"/>
      <c r="C337" s="56"/>
      <c r="D337" s="23" t="s">
        <v>606</v>
      </c>
      <c r="E337" s="42">
        <v>0</v>
      </c>
      <c r="F337" s="42">
        <v>0</v>
      </c>
      <c r="G337" s="42">
        <v>0</v>
      </c>
      <c r="H337" s="42">
        <v>0</v>
      </c>
      <c r="I337" s="42">
        <v>0</v>
      </c>
      <c r="J337" s="42"/>
      <c r="K337" s="42"/>
      <c r="L337" s="42"/>
      <c r="M337" s="150">
        <f t="shared" si="17"/>
        <v>0</v>
      </c>
      <c r="N337" s="45" t="s">
        <v>153</v>
      </c>
      <c r="O337" s="45" t="s">
        <v>759</v>
      </c>
      <c r="P337" s="325" t="s">
        <v>368</v>
      </c>
      <c r="Q337" s="326"/>
      <c r="R337" s="326"/>
      <c r="S337" s="326"/>
      <c r="T337" s="326"/>
      <c r="U337" s="326"/>
      <c r="V337" s="326"/>
      <c r="W337" s="326"/>
      <c r="X337" s="326"/>
      <c r="Y337" s="326"/>
      <c r="Z337" s="326"/>
      <c r="AA337" s="326"/>
      <c r="AB337" s="326"/>
      <c r="AC337" s="326"/>
      <c r="AD337" s="327"/>
    </row>
    <row r="338" spans="1:30" ht="33" customHeight="1">
      <c r="A338" s="56"/>
      <c r="B338" s="56"/>
      <c r="C338" s="56"/>
      <c r="D338" s="23" t="s">
        <v>607</v>
      </c>
      <c r="E338" s="42">
        <v>0</v>
      </c>
      <c r="F338" s="42">
        <v>0</v>
      </c>
      <c r="G338" s="42">
        <v>0</v>
      </c>
      <c r="H338" s="42">
        <v>0</v>
      </c>
      <c r="I338" s="42">
        <v>0</v>
      </c>
      <c r="J338" s="42"/>
      <c r="K338" s="42"/>
      <c r="L338" s="42"/>
      <c r="M338" s="150">
        <f t="shared" si="17"/>
        <v>0</v>
      </c>
      <c r="N338" s="45" t="s">
        <v>154</v>
      </c>
      <c r="O338" s="45" t="s">
        <v>760</v>
      </c>
      <c r="P338" s="325" t="s">
        <v>369</v>
      </c>
      <c r="Q338" s="326"/>
      <c r="R338" s="326"/>
      <c r="S338" s="326"/>
      <c r="T338" s="326"/>
      <c r="U338" s="326"/>
      <c r="V338" s="326"/>
      <c r="W338" s="326"/>
      <c r="X338" s="326"/>
      <c r="Y338" s="326"/>
      <c r="Z338" s="326"/>
      <c r="AA338" s="326"/>
      <c r="AB338" s="326"/>
      <c r="AC338" s="326"/>
      <c r="AD338" s="327"/>
    </row>
    <row r="339" spans="1:30">
      <c r="A339" s="56"/>
      <c r="B339" s="56"/>
      <c r="C339" s="56"/>
      <c r="D339" s="23" t="s">
        <v>600</v>
      </c>
      <c r="E339" s="42">
        <v>0</v>
      </c>
      <c r="F339" s="42">
        <v>0</v>
      </c>
      <c r="G339" s="42">
        <v>0</v>
      </c>
      <c r="H339" s="42">
        <v>0</v>
      </c>
      <c r="I339" s="42">
        <v>0</v>
      </c>
      <c r="J339" s="42"/>
      <c r="K339" s="42"/>
      <c r="L339" s="42"/>
      <c r="M339" s="150">
        <f t="shared" si="17"/>
        <v>0</v>
      </c>
      <c r="N339" s="45" t="s">
        <v>155</v>
      </c>
      <c r="O339" s="45" t="s">
        <v>761</v>
      </c>
      <c r="P339" s="7"/>
    </row>
    <row r="340" spans="1:30">
      <c r="A340" s="56"/>
      <c r="B340" s="56"/>
      <c r="C340" s="56"/>
      <c r="D340" s="23" t="s">
        <v>601</v>
      </c>
      <c r="E340" s="42">
        <v>0</v>
      </c>
      <c r="F340" s="42">
        <v>0</v>
      </c>
      <c r="G340" s="42">
        <v>0</v>
      </c>
      <c r="H340" s="42">
        <v>0</v>
      </c>
      <c r="I340" s="42">
        <v>0</v>
      </c>
      <c r="J340" s="42">
        <v>0</v>
      </c>
      <c r="K340" s="42">
        <v>0</v>
      </c>
      <c r="L340" s="42">
        <v>0</v>
      </c>
      <c r="M340" s="150">
        <f t="shared" si="17"/>
        <v>0</v>
      </c>
      <c r="N340" s="45" t="s">
        <v>156</v>
      </c>
      <c r="O340" s="45" t="s">
        <v>762</v>
      </c>
      <c r="P340" s="7"/>
    </row>
    <row r="341" spans="1:30">
      <c r="A341" s="56"/>
      <c r="B341" s="56"/>
      <c r="C341" s="56"/>
      <c r="D341" s="23" t="s">
        <v>602</v>
      </c>
      <c r="E341" s="42">
        <v>0</v>
      </c>
      <c r="F341" s="42">
        <v>0</v>
      </c>
      <c r="G341" s="42">
        <v>0</v>
      </c>
      <c r="H341" s="42">
        <v>0</v>
      </c>
      <c r="I341" s="42">
        <v>0</v>
      </c>
      <c r="J341" s="42">
        <v>0</v>
      </c>
      <c r="K341" s="42">
        <v>0</v>
      </c>
      <c r="L341" s="42">
        <v>0</v>
      </c>
      <c r="M341" s="150">
        <f>SUM(E341:L341)</f>
        <v>0</v>
      </c>
      <c r="N341" s="45" t="s">
        <v>157</v>
      </c>
      <c r="O341" s="45" t="s">
        <v>763</v>
      </c>
      <c r="P341" s="7"/>
    </row>
    <row r="342" spans="1:30" ht="15.5" customHeight="1">
      <c r="A342" s="56"/>
      <c r="B342" s="56"/>
      <c r="C342" s="56"/>
      <c r="D342" s="23" t="s">
        <v>603</v>
      </c>
      <c r="E342" s="42">
        <v>0</v>
      </c>
      <c r="F342" s="42">
        <v>0</v>
      </c>
      <c r="G342" s="42">
        <v>0</v>
      </c>
      <c r="H342" s="42">
        <v>0</v>
      </c>
      <c r="I342" s="42">
        <v>0</v>
      </c>
      <c r="J342" s="42">
        <v>0</v>
      </c>
      <c r="K342" s="42">
        <v>0</v>
      </c>
      <c r="L342" s="42">
        <v>0</v>
      </c>
      <c r="M342" s="150">
        <f t="shared" si="17"/>
        <v>0</v>
      </c>
      <c r="N342" s="45" t="s">
        <v>159</v>
      </c>
      <c r="O342" s="45" t="s">
        <v>764</v>
      </c>
      <c r="P342" s="7"/>
    </row>
    <row r="343" spans="1:30" ht="37" customHeight="1">
      <c r="A343" s="56"/>
      <c r="B343" s="56"/>
      <c r="C343" s="56"/>
      <c r="D343" s="175" t="s">
        <v>767</v>
      </c>
      <c r="E343" s="181">
        <f>E325+SUM(E327:E342)</f>
        <v>65443</v>
      </c>
      <c r="F343" s="181">
        <f t="shared" ref="F343:M343" si="18">F325+SUM(F327:F342)</f>
        <v>0</v>
      </c>
      <c r="G343" s="181">
        <f t="shared" si="18"/>
        <v>0</v>
      </c>
      <c r="H343" s="181">
        <f t="shared" si="18"/>
        <v>0</v>
      </c>
      <c r="I343" s="181">
        <f t="shared" si="18"/>
        <v>0</v>
      </c>
      <c r="J343" s="181">
        <f t="shared" si="18"/>
        <v>0</v>
      </c>
      <c r="K343" s="181">
        <f t="shared" si="18"/>
        <v>0</v>
      </c>
      <c r="L343" s="181">
        <f t="shared" si="18"/>
        <v>0</v>
      </c>
      <c r="M343" s="184">
        <f t="shared" si="18"/>
        <v>65443</v>
      </c>
      <c r="N343" s="45" t="s">
        <v>128</v>
      </c>
      <c r="O343" s="45" t="s">
        <v>359</v>
      </c>
      <c r="P343" s="325" t="s">
        <v>370</v>
      </c>
      <c r="Q343" s="326"/>
      <c r="R343" s="326"/>
      <c r="S343" s="326"/>
      <c r="T343" s="326"/>
      <c r="U343" s="326"/>
      <c r="V343" s="326"/>
      <c r="W343" s="326"/>
      <c r="X343" s="326"/>
      <c r="Y343" s="326"/>
      <c r="Z343" s="326"/>
      <c r="AA343" s="326"/>
      <c r="AB343" s="326"/>
      <c r="AC343" s="326"/>
      <c r="AD343" s="327"/>
    </row>
    <row r="344" spans="1:30">
      <c r="A344" s="56"/>
      <c r="B344" s="56"/>
      <c r="C344" s="56"/>
      <c r="D344" s="43" t="s">
        <v>768</v>
      </c>
      <c r="E344" s="42">
        <v>0</v>
      </c>
      <c r="F344" s="42">
        <v>0</v>
      </c>
      <c r="G344" s="42">
        <v>0</v>
      </c>
      <c r="H344" s="42">
        <v>0</v>
      </c>
      <c r="I344" s="42"/>
      <c r="J344" s="42"/>
      <c r="K344" s="42"/>
      <c r="L344" s="42"/>
      <c r="M344" s="150">
        <f>SUM(E344:L344)</f>
        <v>0</v>
      </c>
      <c r="N344" s="45" t="s">
        <v>130</v>
      </c>
      <c r="O344" s="45" t="s">
        <v>371</v>
      </c>
    </row>
    <row r="345" spans="1:30" ht="31">
      <c r="A345" s="56"/>
      <c r="B345" s="56"/>
      <c r="C345" s="56"/>
      <c r="D345" s="43" t="s">
        <v>770</v>
      </c>
      <c r="E345" s="42">
        <v>0</v>
      </c>
      <c r="F345" s="42">
        <v>0</v>
      </c>
      <c r="G345" s="42">
        <v>0</v>
      </c>
      <c r="H345" s="42">
        <v>0</v>
      </c>
      <c r="I345" s="42">
        <v>0</v>
      </c>
      <c r="J345" s="42">
        <v>0</v>
      </c>
      <c r="K345" s="42">
        <v>0</v>
      </c>
      <c r="L345" s="42">
        <v>0</v>
      </c>
      <c r="M345" s="150">
        <f>SUM(E345:L345)</f>
        <v>0</v>
      </c>
      <c r="N345" s="45" t="s">
        <v>132</v>
      </c>
      <c r="O345" s="45" t="s">
        <v>372</v>
      </c>
    </row>
    <row r="346" spans="1:30" ht="16" thickBot="1">
      <c r="A346" s="56"/>
      <c r="B346" s="56"/>
      <c r="C346" s="56"/>
      <c r="D346" s="176" t="s">
        <v>769</v>
      </c>
      <c r="E346" s="185">
        <f>+E343+E344+E345</f>
        <v>65443</v>
      </c>
      <c r="F346" s="185">
        <f t="shared" ref="F346:M346" si="19">+F343+F344+F345</f>
        <v>0</v>
      </c>
      <c r="G346" s="185">
        <f t="shared" si="19"/>
        <v>0</v>
      </c>
      <c r="H346" s="185">
        <f t="shared" si="19"/>
        <v>0</v>
      </c>
      <c r="I346" s="185">
        <f t="shared" si="19"/>
        <v>0</v>
      </c>
      <c r="J346" s="185">
        <f t="shared" si="19"/>
        <v>0</v>
      </c>
      <c r="K346" s="185">
        <f t="shared" si="19"/>
        <v>0</v>
      </c>
      <c r="L346" s="185">
        <f t="shared" si="19"/>
        <v>0</v>
      </c>
      <c r="M346" s="186">
        <f t="shared" si="19"/>
        <v>65443</v>
      </c>
      <c r="N346" s="45" t="s">
        <v>343</v>
      </c>
      <c r="O346" s="45" t="s">
        <v>373</v>
      </c>
    </row>
    <row r="347" spans="1:30" ht="16" thickBot="1">
      <c r="A347" s="56"/>
      <c r="B347" s="56"/>
      <c r="C347" s="56"/>
      <c r="D347" s="4"/>
      <c r="E347" s="182"/>
      <c r="F347" s="182"/>
      <c r="G347" s="182"/>
      <c r="H347" s="182"/>
      <c r="I347" s="182"/>
      <c r="J347" s="182"/>
      <c r="K347" s="182"/>
      <c r="L347" s="182"/>
      <c r="M347" s="182"/>
      <c r="N347" s="56"/>
    </row>
    <row r="348" spans="1:30" ht="16" thickBot="1">
      <c r="A348" s="56"/>
      <c r="B348" s="56"/>
      <c r="C348" s="56"/>
      <c r="D348" s="296" t="s">
        <v>376</v>
      </c>
      <c r="E348" s="297"/>
      <c r="F348" s="297"/>
      <c r="G348" s="297"/>
      <c r="H348" s="297"/>
      <c r="I348" s="297"/>
      <c r="J348" s="297"/>
      <c r="K348" s="297"/>
      <c r="L348" s="297"/>
      <c r="M348" s="45" t="s">
        <v>375</v>
      </c>
    </row>
    <row r="349" spans="1:30" ht="16" thickBot="1">
      <c r="A349" s="56"/>
      <c r="B349" s="56"/>
      <c r="C349" s="56"/>
      <c r="D349" s="191" t="s">
        <v>377</v>
      </c>
      <c r="E349" s="192" t="str">
        <f>+E324</f>
        <v>Nord Stream AG (PE Russia)</v>
      </c>
      <c r="F349" s="192">
        <f t="shared" ref="F349:L349" si="20">+F324</f>
        <v>0</v>
      </c>
      <c r="G349" s="192">
        <f t="shared" si="20"/>
        <v>0</v>
      </c>
      <c r="H349" s="192">
        <f t="shared" si="20"/>
        <v>0</v>
      </c>
      <c r="I349" s="192">
        <f t="shared" si="20"/>
        <v>0</v>
      </c>
      <c r="J349" s="192">
        <f t="shared" si="20"/>
        <v>0</v>
      </c>
      <c r="K349" s="192">
        <f t="shared" si="20"/>
        <v>0</v>
      </c>
      <c r="L349" s="192">
        <f t="shared" si="20"/>
        <v>0</v>
      </c>
      <c r="M349" s="45" t="s">
        <v>245</v>
      </c>
      <c r="O349" s="14"/>
    </row>
    <row r="350" spans="1:30" ht="16" thickBot="1">
      <c r="A350" s="56"/>
      <c r="B350" s="56"/>
      <c r="C350" s="56"/>
      <c r="D350" s="376" t="s">
        <v>809</v>
      </c>
      <c r="E350" s="377"/>
      <c r="F350" s="377"/>
      <c r="G350" s="377"/>
      <c r="H350" s="377"/>
      <c r="I350" s="377"/>
      <c r="J350" s="377"/>
      <c r="K350" s="377"/>
      <c r="L350" s="378"/>
      <c r="M350" s="45"/>
      <c r="O350" s="14"/>
    </row>
    <row r="351" spans="1:30">
      <c r="A351" s="56"/>
      <c r="B351" s="56"/>
      <c r="C351" s="56"/>
      <c r="D351" s="193" t="s">
        <v>810</v>
      </c>
      <c r="E351" s="194" t="s">
        <v>650</v>
      </c>
      <c r="F351" s="194" t="s">
        <v>648</v>
      </c>
      <c r="G351" s="194" t="s">
        <v>648</v>
      </c>
      <c r="H351" s="194" t="s">
        <v>648</v>
      </c>
      <c r="I351" s="194" t="s">
        <v>648</v>
      </c>
      <c r="J351" s="194" t="s">
        <v>648</v>
      </c>
      <c r="K351" s="194" t="s">
        <v>648</v>
      </c>
      <c r="L351" s="195" t="s">
        <v>648</v>
      </c>
      <c r="M351" s="45" t="s">
        <v>383</v>
      </c>
      <c r="N351" s="56"/>
      <c r="O351" s="325" t="s">
        <v>384</v>
      </c>
      <c r="P351" s="326"/>
      <c r="Q351" s="326"/>
      <c r="R351" s="326"/>
      <c r="S351" s="326"/>
      <c r="T351" s="326"/>
      <c r="U351" s="326"/>
      <c r="V351" s="326"/>
      <c r="W351" s="326"/>
      <c r="X351" s="326"/>
      <c r="Y351" s="326"/>
      <c r="Z351" s="326"/>
      <c r="AA351" s="326"/>
      <c r="AB351" s="326"/>
      <c r="AC351" s="327"/>
    </row>
    <row r="352" spans="1:30" ht="15" customHeight="1">
      <c r="A352" s="56"/>
      <c r="B352" s="56"/>
      <c r="C352" s="56"/>
      <c r="D352" s="196" t="s">
        <v>386</v>
      </c>
      <c r="E352" s="42" t="s">
        <v>650</v>
      </c>
      <c r="F352" s="42" t="s">
        <v>648</v>
      </c>
      <c r="G352" s="42" t="s">
        <v>648</v>
      </c>
      <c r="H352" s="42" t="s">
        <v>648</v>
      </c>
      <c r="I352" s="42" t="s">
        <v>648</v>
      </c>
      <c r="J352" s="42" t="s">
        <v>648</v>
      </c>
      <c r="K352" s="42" t="s">
        <v>648</v>
      </c>
      <c r="L352" s="41" t="s">
        <v>648</v>
      </c>
      <c r="M352" s="45" t="s">
        <v>385</v>
      </c>
      <c r="N352" s="56"/>
      <c r="O352" s="7"/>
    </row>
    <row r="353" spans="1:29" ht="15" customHeight="1" thickBot="1">
      <c r="A353" s="56"/>
      <c r="B353" s="56"/>
      <c r="C353" s="56"/>
      <c r="D353" s="197" t="s">
        <v>811</v>
      </c>
      <c r="E353" s="106" t="s">
        <v>650</v>
      </c>
      <c r="F353" s="106" t="s">
        <v>648</v>
      </c>
      <c r="G353" s="106" t="s">
        <v>648</v>
      </c>
      <c r="H353" s="106" t="s">
        <v>648</v>
      </c>
      <c r="I353" s="106" t="s">
        <v>648</v>
      </c>
      <c r="J353" s="106" t="s">
        <v>648</v>
      </c>
      <c r="K353" s="106" t="s">
        <v>648</v>
      </c>
      <c r="L353" s="99" t="s">
        <v>648</v>
      </c>
      <c r="M353" s="56"/>
      <c r="N353" s="56"/>
      <c r="O353" s="7"/>
    </row>
    <row r="354" spans="1:29" ht="15" customHeight="1" thickBot="1">
      <c r="A354" s="56"/>
      <c r="B354" s="56"/>
      <c r="C354" s="56"/>
      <c r="D354" s="376" t="s">
        <v>812</v>
      </c>
      <c r="E354" s="377"/>
      <c r="F354" s="377"/>
      <c r="G354" s="377"/>
      <c r="H354" s="377"/>
      <c r="I354" s="377"/>
      <c r="J354" s="377"/>
      <c r="K354" s="377"/>
      <c r="L354" s="378"/>
      <c r="M354" s="56"/>
      <c r="N354" s="56"/>
      <c r="O354" s="7"/>
    </row>
    <row r="355" spans="1:29" ht="15" customHeight="1">
      <c r="A355" s="56"/>
      <c r="B355" s="56"/>
      <c r="C355" s="56"/>
      <c r="D355" s="193" t="s">
        <v>813</v>
      </c>
      <c r="E355" s="194" t="s">
        <v>650</v>
      </c>
      <c r="F355" s="194" t="s">
        <v>650</v>
      </c>
      <c r="G355" s="194" t="s">
        <v>650</v>
      </c>
      <c r="H355" s="194" t="s">
        <v>650</v>
      </c>
      <c r="I355" s="194" t="s">
        <v>650</v>
      </c>
      <c r="J355" s="194" t="s">
        <v>648</v>
      </c>
      <c r="K355" s="194" t="s">
        <v>648</v>
      </c>
      <c r="L355" s="195" t="s">
        <v>648</v>
      </c>
      <c r="M355" s="45" t="s">
        <v>378</v>
      </c>
      <c r="O355" s="14"/>
    </row>
    <row r="356" spans="1:29" ht="15" customHeight="1">
      <c r="A356" s="56"/>
      <c r="B356" s="56"/>
      <c r="C356" s="56"/>
      <c r="D356" s="93" t="s">
        <v>380</v>
      </c>
      <c r="E356" s="42" t="s">
        <v>819</v>
      </c>
      <c r="F356" s="42" t="s">
        <v>819</v>
      </c>
      <c r="G356" s="42" t="s">
        <v>819</v>
      </c>
      <c r="H356" s="42" t="s">
        <v>819</v>
      </c>
      <c r="I356" s="42" t="s">
        <v>819</v>
      </c>
      <c r="J356" s="42" t="s">
        <v>819</v>
      </c>
      <c r="K356" s="42" t="s">
        <v>819</v>
      </c>
      <c r="L356" s="42" t="s">
        <v>819</v>
      </c>
      <c r="M356" s="45" t="s">
        <v>379</v>
      </c>
      <c r="N356" s="56"/>
      <c r="O356" s="7"/>
      <c r="P356" s="7"/>
      <c r="Q356" s="7"/>
      <c r="R356" s="7"/>
      <c r="S356" s="7"/>
      <c r="T356" s="7"/>
      <c r="U356" s="7"/>
      <c r="V356" s="7"/>
      <c r="W356" s="7"/>
      <c r="X356" s="7"/>
      <c r="Y356" s="7"/>
      <c r="Z356" s="7"/>
      <c r="AA356" s="7"/>
      <c r="AB356" s="7"/>
    </row>
    <row r="357" spans="1:29" ht="15" customHeight="1" thickBot="1">
      <c r="A357" s="56"/>
      <c r="B357" s="56"/>
      <c r="C357" s="56"/>
      <c r="D357" s="158" t="s">
        <v>382</v>
      </c>
      <c r="E357" s="106" t="s">
        <v>820</v>
      </c>
      <c r="F357" s="106" t="s">
        <v>820</v>
      </c>
      <c r="G357" s="106" t="s">
        <v>820</v>
      </c>
      <c r="H357" s="106" t="s">
        <v>820</v>
      </c>
      <c r="I357" s="106" t="s">
        <v>820</v>
      </c>
      <c r="J357" s="106" t="s">
        <v>820</v>
      </c>
      <c r="K357" s="106" t="s">
        <v>820</v>
      </c>
      <c r="L357" s="106" t="s">
        <v>820</v>
      </c>
      <c r="M357" s="45" t="s">
        <v>381</v>
      </c>
      <c r="N357" s="7"/>
    </row>
    <row r="358" spans="1:29" ht="15" customHeight="1">
      <c r="A358" s="56"/>
      <c r="B358" s="56"/>
      <c r="C358" s="56"/>
      <c r="D358" s="193" t="s">
        <v>814</v>
      </c>
      <c r="E358" s="194" t="s">
        <v>650</v>
      </c>
      <c r="F358" s="194" t="s">
        <v>650</v>
      </c>
      <c r="G358" s="194" t="s">
        <v>650</v>
      </c>
      <c r="H358" s="194" t="s">
        <v>650</v>
      </c>
      <c r="I358" s="194" t="s">
        <v>650</v>
      </c>
      <c r="J358" s="194" t="s">
        <v>648</v>
      </c>
      <c r="K358" s="194" t="s">
        <v>648</v>
      </c>
      <c r="L358" s="195" t="s">
        <v>648</v>
      </c>
      <c r="M358" s="45" t="s">
        <v>387</v>
      </c>
      <c r="N358" s="56"/>
      <c r="O358" s="7"/>
    </row>
    <row r="359" spans="1:29" ht="15" customHeight="1">
      <c r="A359" s="56"/>
      <c r="B359" s="56"/>
      <c r="C359" s="56"/>
      <c r="D359" s="93" t="s">
        <v>380</v>
      </c>
      <c r="E359" s="42" t="s">
        <v>819</v>
      </c>
      <c r="F359" s="42" t="s">
        <v>819</v>
      </c>
      <c r="G359" s="42" t="s">
        <v>819</v>
      </c>
      <c r="H359" s="42" t="s">
        <v>819</v>
      </c>
      <c r="I359" s="42" t="s">
        <v>819</v>
      </c>
      <c r="J359" s="42" t="s">
        <v>819</v>
      </c>
      <c r="K359" s="42" t="s">
        <v>819</v>
      </c>
      <c r="L359" s="42" t="s">
        <v>819</v>
      </c>
      <c r="M359" s="45" t="s">
        <v>379</v>
      </c>
      <c r="N359" s="56"/>
      <c r="O359" s="7"/>
    </row>
    <row r="360" spans="1:29" ht="15" customHeight="1" thickBot="1">
      <c r="A360" s="56"/>
      <c r="B360" s="56"/>
      <c r="C360" s="56"/>
      <c r="D360" s="158" t="s">
        <v>382</v>
      </c>
      <c r="E360" s="106" t="s">
        <v>820</v>
      </c>
      <c r="F360" s="106" t="s">
        <v>820</v>
      </c>
      <c r="G360" s="106" t="s">
        <v>820</v>
      </c>
      <c r="H360" s="106" t="s">
        <v>820</v>
      </c>
      <c r="I360" s="106" t="s">
        <v>820</v>
      </c>
      <c r="J360" s="106" t="s">
        <v>820</v>
      </c>
      <c r="K360" s="106" t="s">
        <v>820</v>
      </c>
      <c r="L360" s="106" t="s">
        <v>820</v>
      </c>
      <c r="M360" s="45" t="s">
        <v>381</v>
      </c>
      <c r="N360" s="56"/>
      <c r="O360" s="7"/>
    </row>
    <row r="361" spans="1:29">
      <c r="A361" s="56"/>
      <c r="B361" s="56"/>
      <c r="C361" s="56"/>
      <c r="D361" s="193" t="s">
        <v>816</v>
      </c>
      <c r="E361" s="194" t="s">
        <v>650</v>
      </c>
      <c r="F361" s="194" t="s">
        <v>650</v>
      </c>
      <c r="G361" s="194" t="s">
        <v>650</v>
      </c>
      <c r="H361" s="194" t="s">
        <v>650</v>
      </c>
      <c r="I361" s="194" t="s">
        <v>650</v>
      </c>
      <c r="J361" s="194" t="s">
        <v>648</v>
      </c>
      <c r="K361" s="194" t="s">
        <v>648</v>
      </c>
      <c r="L361" s="195" t="s">
        <v>648</v>
      </c>
      <c r="M361" s="45" t="s">
        <v>388</v>
      </c>
      <c r="N361" s="56"/>
      <c r="O361" s="7"/>
    </row>
    <row r="362" spans="1:29" ht="15" customHeight="1">
      <c r="A362" s="56"/>
      <c r="B362" s="56"/>
      <c r="C362" s="56"/>
      <c r="D362" s="93" t="s">
        <v>380</v>
      </c>
      <c r="E362" s="42" t="s">
        <v>819</v>
      </c>
      <c r="F362" s="42" t="s">
        <v>819</v>
      </c>
      <c r="G362" s="42" t="s">
        <v>819</v>
      </c>
      <c r="H362" s="42" t="s">
        <v>819</v>
      </c>
      <c r="I362" s="42" t="s">
        <v>819</v>
      </c>
      <c r="J362" s="42" t="s">
        <v>819</v>
      </c>
      <c r="K362" s="42" t="s">
        <v>819</v>
      </c>
      <c r="L362" s="42" t="s">
        <v>819</v>
      </c>
      <c r="M362" s="45" t="s">
        <v>379</v>
      </c>
      <c r="N362" s="56"/>
      <c r="O362" s="7"/>
    </row>
    <row r="363" spans="1:29" ht="15" customHeight="1" thickBot="1">
      <c r="A363" s="56"/>
      <c r="B363" s="56"/>
      <c r="C363" s="56"/>
      <c r="D363" s="158" t="s">
        <v>382</v>
      </c>
      <c r="E363" s="106" t="s">
        <v>820</v>
      </c>
      <c r="F363" s="106" t="s">
        <v>820</v>
      </c>
      <c r="G363" s="106" t="s">
        <v>820</v>
      </c>
      <c r="H363" s="106" t="s">
        <v>820</v>
      </c>
      <c r="I363" s="106" t="s">
        <v>820</v>
      </c>
      <c r="J363" s="106" t="s">
        <v>820</v>
      </c>
      <c r="K363" s="106" t="s">
        <v>820</v>
      </c>
      <c r="L363" s="106" t="s">
        <v>820</v>
      </c>
      <c r="M363" s="45" t="s">
        <v>381</v>
      </c>
      <c r="N363" s="56"/>
      <c r="O363" s="7"/>
    </row>
    <row r="364" spans="1:29" ht="15" customHeight="1">
      <c r="A364" s="56"/>
      <c r="B364" s="56"/>
      <c r="C364" s="56"/>
      <c r="D364" s="193" t="s">
        <v>399</v>
      </c>
      <c r="E364" s="194" t="s">
        <v>650</v>
      </c>
      <c r="F364" s="194" t="s">
        <v>650</v>
      </c>
      <c r="G364" s="194" t="s">
        <v>650</v>
      </c>
      <c r="H364" s="194" t="s">
        <v>650</v>
      </c>
      <c r="I364" s="194" t="s">
        <v>650</v>
      </c>
      <c r="J364" s="194" t="s">
        <v>648</v>
      </c>
      <c r="K364" s="194" t="s">
        <v>648</v>
      </c>
      <c r="L364" s="195" t="s">
        <v>648</v>
      </c>
      <c r="M364" s="45" t="s">
        <v>398</v>
      </c>
      <c r="N364" s="56"/>
      <c r="O364" s="328" t="s">
        <v>400</v>
      </c>
      <c r="P364" s="329"/>
      <c r="Q364" s="329"/>
      <c r="R364" s="329"/>
      <c r="S364" s="329"/>
      <c r="T364" s="329"/>
      <c r="U364" s="329"/>
      <c r="V364" s="329"/>
      <c r="W364" s="329"/>
      <c r="X364" s="329"/>
      <c r="Y364" s="329"/>
      <c r="Z364" s="329"/>
      <c r="AA364" s="329"/>
      <c r="AB364" s="329"/>
      <c r="AC364" s="330"/>
    </row>
    <row r="365" spans="1:29" ht="15" customHeight="1">
      <c r="A365" s="56"/>
      <c r="B365" s="56"/>
      <c r="C365" s="56"/>
      <c r="D365" s="93" t="s">
        <v>380</v>
      </c>
      <c r="E365" s="42" t="s">
        <v>819</v>
      </c>
      <c r="F365" s="42" t="s">
        <v>819</v>
      </c>
      <c r="G365" s="42" t="s">
        <v>819</v>
      </c>
      <c r="H365" s="42" t="s">
        <v>819</v>
      </c>
      <c r="I365" s="42" t="s">
        <v>819</v>
      </c>
      <c r="J365" s="42" t="s">
        <v>819</v>
      </c>
      <c r="K365" s="42" t="s">
        <v>819</v>
      </c>
      <c r="L365" s="42" t="s">
        <v>819</v>
      </c>
      <c r="M365" s="45" t="s">
        <v>379</v>
      </c>
      <c r="N365" s="56"/>
      <c r="O365" s="331"/>
      <c r="P365" s="332"/>
      <c r="Q365" s="332"/>
      <c r="R365" s="332"/>
      <c r="S365" s="332"/>
      <c r="T365" s="332"/>
      <c r="U365" s="332"/>
      <c r="V365" s="332"/>
      <c r="W365" s="332"/>
      <c r="X365" s="332"/>
      <c r="Y365" s="332"/>
      <c r="Z365" s="332"/>
      <c r="AA365" s="332"/>
      <c r="AB365" s="332"/>
      <c r="AC365" s="333"/>
    </row>
    <row r="366" spans="1:29" ht="15" customHeight="1" thickBot="1">
      <c r="A366" s="56"/>
      <c r="B366" s="56"/>
      <c r="C366" s="56"/>
      <c r="D366" s="158" t="s">
        <v>382</v>
      </c>
      <c r="E366" s="106" t="s">
        <v>820</v>
      </c>
      <c r="F366" s="106" t="s">
        <v>820</v>
      </c>
      <c r="G366" s="106" t="s">
        <v>820</v>
      </c>
      <c r="H366" s="106" t="s">
        <v>820</v>
      </c>
      <c r="I366" s="106" t="s">
        <v>820</v>
      </c>
      <c r="J366" s="106" t="s">
        <v>820</v>
      </c>
      <c r="K366" s="106" t="s">
        <v>820</v>
      </c>
      <c r="L366" s="106" t="s">
        <v>820</v>
      </c>
      <c r="M366" s="45" t="s">
        <v>381</v>
      </c>
      <c r="N366" s="56"/>
      <c r="O366" s="331"/>
      <c r="P366" s="332"/>
      <c r="Q366" s="332"/>
      <c r="R366" s="332"/>
      <c r="S366" s="332"/>
      <c r="T366" s="332"/>
      <c r="U366" s="332"/>
      <c r="V366" s="332"/>
      <c r="W366" s="332"/>
      <c r="X366" s="332"/>
      <c r="Y366" s="332"/>
      <c r="Z366" s="332"/>
      <c r="AA366" s="332"/>
      <c r="AB366" s="332"/>
      <c r="AC366" s="333"/>
    </row>
    <row r="367" spans="1:29" ht="14" customHeight="1">
      <c r="A367" s="56"/>
      <c r="B367" s="56"/>
      <c r="C367" s="56"/>
      <c r="D367" s="198" t="s">
        <v>817</v>
      </c>
      <c r="E367" s="194" t="s">
        <v>650</v>
      </c>
      <c r="F367" s="194" t="s">
        <v>650</v>
      </c>
      <c r="G367" s="194" t="s">
        <v>650</v>
      </c>
      <c r="H367" s="194" t="s">
        <v>650</v>
      </c>
      <c r="I367" s="194" t="s">
        <v>650</v>
      </c>
      <c r="J367" s="194" t="s">
        <v>648</v>
      </c>
      <c r="K367" s="194" t="s">
        <v>648</v>
      </c>
      <c r="L367" s="195" t="s">
        <v>648</v>
      </c>
      <c r="M367" s="45" t="s">
        <v>401</v>
      </c>
      <c r="N367" s="56"/>
      <c r="O367" s="334" t="s">
        <v>402</v>
      </c>
      <c r="P367" s="335"/>
      <c r="Q367" s="335"/>
      <c r="R367" s="335"/>
      <c r="S367" s="335"/>
      <c r="T367" s="335"/>
      <c r="U367" s="335"/>
      <c r="V367" s="335"/>
      <c r="W367" s="335"/>
      <c r="X367" s="335"/>
      <c r="Y367" s="335"/>
      <c r="Z367" s="335"/>
      <c r="AA367" s="335"/>
      <c r="AB367" s="335"/>
      <c r="AC367" s="336"/>
    </row>
    <row r="368" spans="1:29" ht="15" customHeight="1">
      <c r="A368" s="56"/>
      <c r="B368" s="56"/>
      <c r="C368" s="56"/>
      <c r="D368" s="93" t="s">
        <v>380</v>
      </c>
      <c r="E368" s="42" t="s">
        <v>819</v>
      </c>
      <c r="F368" s="42" t="s">
        <v>819</v>
      </c>
      <c r="G368" s="42" t="s">
        <v>819</v>
      </c>
      <c r="H368" s="42" t="s">
        <v>819</v>
      </c>
      <c r="I368" s="42" t="s">
        <v>819</v>
      </c>
      <c r="J368" s="42" t="s">
        <v>819</v>
      </c>
      <c r="K368" s="42" t="s">
        <v>819</v>
      </c>
      <c r="L368" s="42" t="s">
        <v>819</v>
      </c>
      <c r="M368" s="45" t="s">
        <v>379</v>
      </c>
      <c r="N368" s="56"/>
      <c r="O368" s="337"/>
      <c r="P368" s="338"/>
      <c r="Q368" s="338"/>
      <c r="R368" s="338"/>
      <c r="S368" s="338"/>
      <c r="T368" s="338"/>
      <c r="U368" s="338"/>
      <c r="V368" s="338"/>
      <c r="W368" s="338"/>
      <c r="X368" s="338"/>
      <c r="Y368" s="338"/>
      <c r="Z368" s="338"/>
      <c r="AA368" s="338"/>
      <c r="AB368" s="338"/>
      <c r="AC368" s="339"/>
    </row>
    <row r="369" spans="1:29" ht="15" customHeight="1" thickBot="1">
      <c r="A369" s="56"/>
      <c r="B369" s="56"/>
      <c r="C369" s="56"/>
      <c r="D369" s="199" t="s">
        <v>382</v>
      </c>
      <c r="E369" s="106" t="s">
        <v>820</v>
      </c>
      <c r="F369" s="106" t="s">
        <v>820</v>
      </c>
      <c r="G369" s="106" t="s">
        <v>820</v>
      </c>
      <c r="H369" s="106" t="s">
        <v>820</v>
      </c>
      <c r="I369" s="106" t="s">
        <v>820</v>
      </c>
      <c r="J369" s="106" t="s">
        <v>820</v>
      </c>
      <c r="K369" s="106" t="s">
        <v>820</v>
      </c>
      <c r="L369" s="106" t="s">
        <v>820</v>
      </c>
      <c r="M369" s="45" t="s">
        <v>381</v>
      </c>
      <c r="N369" s="56"/>
      <c r="O369" s="337"/>
      <c r="P369" s="338"/>
      <c r="Q369" s="338"/>
      <c r="R369" s="338"/>
      <c r="S369" s="338"/>
      <c r="T369" s="338"/>
      <c r="U369" s="338"/>
      <c r="V369" s="338"/>
      <c r="W369" s="338"/>
      <c r="X369" s="338"/>
      <c r="Y369" s="338"/>
      <c r="Z369" s="338"/>
      <c r="AA369" s="338"/>
      <c r="AB369" s="338"/>
      <c r="AC369" s="339"/>
    </row>
    <row r="370" spans="1:29" ht="15" customHeight="1">
      <c r="A370" s="56"/>
      <c r="B370" s="56"/>
      <c r="C370" s="56"/>
      <c r="D370" s="200" t="s">
        <v>815</v>
      </c>
      <c r="E370" s="194" t="s">
        <v>650</v>
      </c>
      <c r="F370" s="194" t="s">
        <v>650</v>
      </c>
      <c r="G370" s="194" t="s">
        <v>650</v>
      </c>
      <c r="H370" s="194" t="s">
        <v>650</v>
      </c>
      <c r="I370" s="194" t="s">
        <v>650</v>
      </c>
      <c r="J370" s="194" t="s">
        <v>648</v>
      </c>
      <c r="K370" s="194" t="s">
        <v>648</v>
      </c>
      <c r="L370" s="195" t="s">
        <v>648</v>
      </c>
      <c r="M370" s="45" t="s">
        <v>394</v>
      </c>
      <c r="N370" s="56"/>
      <c r="O370" s="328" t="s">
        <v>395</v>
      </c>
      <c r="P370" s="329"/>
      <c r="Q370" s="329"/>
      <c r="R370" s="329"/>
      <c r="S370" s="329"/>
      <c r="T370" s="329"/>
      <c r="U370" s="329"/>
      <c r="V370" s="329"/>
      <c r="W370" s="329"/>
      <c r="X370" s="329"/>
      <c r="Y370" s="329"/>
      <c r="Z370" s="329"/>
      <c r="AA370" s="329"/>
      <c r="AB370" s="329"/>
      <c r="AC370" s="330"/>
    </row>
    <row r="371" spans="1:29" ht="15" customHeight="1">
      <c r="A371" s="56"/>
      <c r="B371" s="56"/>
      <c r="C371" s="56"/>
      <c r="D371" s="93" t="s">
        <v>380</v>
      </c>
      <c r="E371" s="42" t="s">
        <v>819</v>
      </c>
      <c r="F371" s="42" t="s">
        <v>819</v>
      </c>
      <c r="G371" s="42" t="s">
        <v>819</v>
      </c>
      <c r="H371" s="42" t="s">
        <v>819</v>
      </c>
      <c r="I371" s="42" t="s">
        <v>819</v>
      </c>
      <c r="J371" s="42" t="s">
        <v>819</v>
      </c>
      <c r="K371" s="42" t="s">
        <v>819</v>
      </c>
      <c r="L371" s="42" t="s">
        <v>819</v>
      </c>
      <c r="M371" s="45" t="s">
        <v>379</v>
      </c>
      <c r="N371" s="56"/>
      <c r="O371" s="331"/>
      <c r="P371" s="332"/>
      <c r="Q371" s="332"/>
      <c r="R371" s="332"/>
      <c r="S371" s="332"/>
      <c r="T371" s="332"/>
      <c r="U371" s="332"/>
      <c r="V371" s="332"/>
      <c r="W371" s="332"/>
      <c r="X371" s="332"/>
      <c r="Y371" s="332"/>
      <c r="Z371" s="332"/>
      <c r="AA371" s="332"/>
      <c r="AB371" s="332"/>
      <c r="AC371" s="333"/>
    </row>
    <row r="372" spans="1:29" ht="15" customHeight="1" thickBot="1">
      <c r="A372" s="56"/>
      <c r="B372" s="56"/>
      <c r="C372" s="56"/>
      <c r="D372" s="199" t="s">
        <v>382</v>
      </c>
      <c r="E372" s="106" t="s">
        <v>820</v>
      </c>
      <c r="F372" s="106" t="s">
        <v>820</v>
      </c>
      <c r="G372" s="106" t="s">
        <v>820</v>
      </c>
      <c r="H372" s="106" t="s">
        <v>820</v>
      </c>
      <c r="I372" s="106" t="s">
        <v>820</v>
      </c>
      <c r="J372" s="106" t="s">
        <v>820</v>
      </c>
      <c r="K372" s="106" t="s">
        <v>820</v>
      </c>
      <c r="L372" s="106" t="s">
        <v>820</v>
      </c>
      <c r="M372" s="45" t="s">
        <v>381</v>
      </c>
      <c r="N372" s="56"/>
      <c r="O372" s="340"/>
      <c r="P372" s="341"/>
      <c r="Q372" s="341"/>
      <c r="R372" s="341"/>
      <c r="S372" s="341"/>
      <c r="T372" s="341"/>
      <c r="U372" s="341"/>
      <c r="V372" s="341"/>
      <c r="W372" s="341"/>
      <c r="X372" s="341"/>
      <c r="Y372" s="341"/>
      <c r="Z372" s="341"/>
      <c r="AA372" s="341"/>
      <c r="AB372" s="341"/>
      <c r="AC372" s="342"/>
    </row>
    <row r="373" spans="1:29" ht="15" customHeight="1">
      <c r="A373" s="56"/>
      <c r="B373" s="56"/>
      <c r="C373" s="56"/>
      <c r="D373" s="200" t="s">
        <v>397</v>
      </c>
      <c r="E373" s="194" t="s">
        <v>650</v>
      </c>
      <c r="F373" s="194" t="s">
        <v>650</v>
      </c>
      <c r="G373" s="194" t="s">
        <v>650</v>
      </c>
      <c r="H373" s="194" t="s">
        <v>650</v>
      </c>
      <c r="I373" s="194" t="s">
        <v>650</v>
      </c>
      <c r="J373" s="194" t="s">
        <v>648</v>
      </c>
      <c r="K373" s="194" t="s">
        <v>648</v>
      </c>
      <c r="L373" s="195" t="s">
        <v>648</v>
      </c>
      <c r="M373" s="45" t="s">
        <v>396</v>
      </c>
      <c r="N373" s="56"/>
      <c r="O373" s="328" t="s">
        <v>59</v>
      </c>
      <c r="P373" s="329"/>
      <c r="Q373" s="329"/>
      <c r="R373" s="329"/>
      <c r="S373" s="329"/>
      <c r="T373" s="329"/>
      <c r="U373" s="329"/>
      <c r="V373" s="329"/>
      <c r="W373" s="329"/>
      <c r="X373" s="329"/>
      <c r="Y373" s="329"/>
      <c r="Z373" s="329"/>
      <c r="AA373" s="329"/>
      <c r="AB373" s="329"/>
      <c r="AC373" s="330"/>
    </row>
    <row r="374" spans="1:29" ht="15" customHeight="1">
      <c r="A374" s="56"/>
      <c r="B374" s="56"/>
      <c r="C374" s="56"/>
      <c r="D374" s="93" t="s">
        <v>380</v>
      </c>
      <c r="E374" s="42" t="s">
        <v>819</v>
      </c>
      <c r="F374" s="42" t="s">
        <v>819</v>
      </c>
      <c r="G374" s="42" t="s">
        <v>819</v>
      </c>
      <c r="H374" s="42" t="s">
        <v>819</v>
      </c>
      <c r="I374" s="42" t="s">
        <v>819</v>
      </c>
      <c r="J374" s="42" t="s">
        <v>819</v>
      </c>
      <c r="K374" s="42" t="s">
        <v>819</v>
      </c>
      <c r="L374" s="42" t="s">
        <v>819</v>
      </c>
      <c r="M374" s="45" t="s">
        <v>379</v>
      </c>
      <c r="N374" s="56"/>
      <c r="O374" s="331"/>
      <c r="P374" s="332"/>
      <c r="Q374" s="332"/>
      <c r="R374" s="332"/>
      <c r="S374" s="332"/>
      <c r="T374" s="332"/>
      <c r="U374" s="332"/>
      <c r="V374" s="332"/>
      <c r="W374" s="332"/>
      <c r="X374" s="332"/>
      <c r="Y374" s="332"/>
      <c r="Z374" s="332"/>
      <c r="AA374" s="332"/>
      <c r="AB374" s="332"/>
      <c r="AC374" s="333"/>
    </row>
    <row r="375" spans="1:29" ht="15" customHeight="1" thickBot="1">
      <c r="A375" s="56"/>
      <c r="B375" s="56"/>
      <c r="C375" s="56"/>
      <c r="D375" s="199" t="s">
        <v>382</v>
      </c>
      <c r="E375" s="172" t="s">
        <v>820</v>
      </c>
      <c r="F375" s="172" t="s">
        <v>820</v>
      </c>
      <c r="G375" s="172" t="s">
        <v>820</v>
      </c>
      <c r="H375" s="172" t="s">
        <v>820</v>
      </c>
      <c r="I375" s="172" t="s">
        <v>820</v>
      </c>
      <c r="J375" s="172" t="s">
        <v>820</v>
      </c>
      <c r="K375" s="172" t="s">
        <v>820</v>
      </c>
      <c r="L375" s="172" t="s">
        <v>820</v>
      </c>
      <c r="M375" s="45" t="s">
        <v>381</v>
      </c>
      <c r="N375" s="56"/>
      <c r="O375" s="340"/>
      <c r="P375" s="341"/>
      <c r="Q375" s="341"/>
      <c r="R375" s="341"/>
      <c r="S375" s="341"/>
      <c r="T375" s="341"/>
      <c r="U375" s="341"/>
      <c r="V375" s="341"/>
      <c r="W375" s="341"/>
      <c r="X375" s="341"/>
      <c r="Y375" s="341"/>
      <c r="Z375" s="341"/>
      <c r="AA375" s="341"/>
      <c r="AB375" s="341"/>
      <c r="AC375" s="342"/>
    </row>
    <row r="376" spans="1:29" ht="14" customHeight="1">
      <c r="A376" s="56"/>
      <c r="B376" s="56"/>
      <c r="C376" s="56"/>
      <c r="D376" s="200" t="s">
        <v>390</v>
      </c>
      <c r="E376" s="194" t="s">
        <v>650</v>
      </c>
      <c r="F376" s="194" t="s">
        <v>650</v>
      </c>
      <c r="G376" s="194" t="s">
        <v>650</v>
      </c>
      <c r="H376" s="194" t="s">
        <v>650</v>
      </c>
      <c r="I376" s="194" t="s">
        <v>650</v>
      </c>
      <c r="J376" s="194" t="s">
        <v>648</v>
      </c>
      <c r="K376" s="194" t="s">
        <v>648</v>
      </c>
      <c r="L376" s="195" t="s">
        <v>648</v>
      </c>
      <c r="M376" s="45" t="s">
        <v>389</v>
      </c>
      <c r="N376" s="56"/>
      <c r="O376" s="7"/>
    </row>
    <row r="377" spans="1:29" ht="15" customHeight="1">
      <c r="A377" s="56"/>
      <c r="B377" s="56"/>
      <c r="C377" s="56"/>
      <c r="D377" s="93" t="s">
        <v>392</v>
      </c>
      <c r="E377" s="42" t="s">
        <v>821</v>
      </c>
      <c r="F377" s="42" t="s">
        <v>821</v>
      </c>
      <c r="G377" s="42" t="s">
        <v>821</v>
      </c>
      <c r="H377" s="42" t="s">
        <v>821</v>
      </c>
      <c r="I377" s="42" t="s">
        <v>821</v>
      </c>
      <c r="J377" s="42" t="s">
        <v>821</v>
      </c>
      <c r="K377" s="42" t="s">
        <v>821</v>
      </c>
      <c r="L377" s="41" t="s">
        <v>821</v>
      </c>
      <c r="M377" s="45" t="s">
        <v>391</v>
      </c>
      <c r="N377" s="56"/>
      <c r="O377" s="7"/>
    </row>
    <row r="378" spans="1:29" ht="30.5" customHeight="1" thickBot="1">
      <c r="A378" s="56"/>
      <c r="B378" s="56"/>
      <c r="C378" s="56"/>
      <c r="D378" s="201" t="s">
        <v>818</v>
      </c>
      <c r="E378" s="106">
        <v>0</v>
      </c>
      <c r="F378" s="106">
        <v>0</v>
      </c>
      <c r="G378" s="106">
        <v>0</v>
      </c>
      <c r="H378" s="106">
        <v>0</v>
      </c>
      <c r="I378" s="106">
        <v>0</v>
      </c>
      <c r="J378" s="106">
        <v>0</v>
      </c>
      <c r="K378" s="106">
        <v>0</v>
      </c>
      <c r="L378" s="99">
        <v>0</v>
      </c>
      <c r="M378" s="45" t="s">
        <v>393</v>
      </c>
      <c r="N378" s="56"/>
      <c r="O378" s="7"/>
    </row>
    <row r="379" spans="1:29" ht="15" customHeight="1" thickBot="1">
      <c r="A379" s="56"/>
      <c r="B379" s="56"/>
      <c r="C379" s="56"/>
    </row>
    <row r="380" spans="1:29" ht="16" thickBot="1">
      <c r="A380" s="56"/>
      <c r="B380" s="56"/>
      <c r="C380" s="56"/>
      <c r="D380" s="296" t="s">
        <v>771</v>
      </c>
      <c r="E380" s="297"/>
      <c r="F380" s="297"/>
      <c r="G380" s="297"/>
      <c r="H380" s="297"/>
      <c r="I380" s="297"/>
      <c r="J380" s="297"/>
      <c r="K380" s="297"/>
      <c r="L380" s="297"/>
      <c r="M380" s="298"/>
      <c r="N380" s="56"/>
    </row>
    <row r="381" spans="1:29" ht="16" thickBot="1">
      <c r="A381" s="56"/>
      <c r="B381" s="56"/>
      <c r="C381" s="56"/>
      <c r="D381" s="296" t="s">
        <v>772</v>
      </c>
      <c r="E381" s="297"/>
      <c r="F381" s="297"/>
      <c r="G381" s="297"/>
      <c r="H381" s="297"/>
      <c r="I381" s="297"/>
      <c r="J381" s="297"/>
      <c r="K381" s="297"/>
      <c r="L381" s="297"/>
      <c r="M381" s="298"/>
      <c r="N381" s="56"/>
    </row>
    <row r="382" spans="1:29">
      <c r="A382" s="56"/>
      <c r="B382" s="56"/>
      <c r="C382" s="56"/>
      <c r="D382" s="174" t="s">
        <v>247</v>
      </c>
      <c r="E382" s="169" t="str">
        <f t="shared" ref="E382:M382" si="21">+E324</f>
        <v>Nord Stream AG (PE Russia)</v>
      </c>
      <c r="F382" s="169">
        <f t="shared" si="21"/>
        <v>0</v>
      </c>
      <c r="G382" s="169">
        <f t="shared" si="21"/>
        <v>0</v>
      </c>
      <c r="H382" s="169">
        <f t="shared" si="21"/>
        <v>0</v>
      </c>
      <c r="I382" s="169">
        <f t="shared" si="21"/>
        <v>0</v>
      </c>
      <c r="J382" s="169">
        <f t="shared" si="21"/>
        <v>0</v>
      </c>
      <c r="K382" s="169">
        <f t="shared" si="21"/>
        <v>0</v>
      </c>
      <c r="L382" s="169">
        <f t="shared" si="21"/>
        <v>0</v>
      </c>
      <c r="M382" s="170" t="str">
        <f t="shared" si="21"/>
        <v>Total amount</v>
      </c>
      <c r="N382" s="56"/>
    </row>
    <row r="383" spans="1:29">
      <c r="A383" s="56"/>
      <c r="B383" s="56"/>
      <c r="C383" s="56"/>
      <c r="D383" s="285" t="s">
        <v>773</v>
      </c>
      <c r="E383" s="383"/>
      <c r="F383" s="383"/>
      <c r="G383" s="383"/>
      <c r="H383" s="383"/>
      <c r="I383" s="383"/>
      <c r="J383" s="383"/>
      <c r="K383" s="383"/>
      <c r="L383" s="383"/>
      <c r="M383" s="286"/>
      <c r="N383" s="56"/>
    </row>
    <row r="384" spans="1:29">
      <c r="A384" s="56"/>
      <c r="B384" s="56"/>
      <c r="C384" s="56"/>
      <c r="D384" s="188" t="s">
        <v>774</v>
      </c>
      <c r="E384" s="42" t="s">
        <v>788</v>
      </c>
      <c r="F384" s="42" t="s">
        <v>788</v>
      </c>
      <c r="G384" s="42" t="s">
        <v>788</v>
      </c>
      <c r="H384" s="42" t="s">
        <v>788</v>
      </c>
      <c r="I384" s="42" t="s">
        <v>788</v>
      </c>
      <c r="J384" s="42" t="s">
        <v>788</v>
      </c>
      <c r="K384" s="42" t="s">
        <v>788</v>
      </c>
      <c r="L384" s="42" t="s">
        <v>788</v>
      </c>
      <c r="M384" s="150"/>
      <c r="N384" s="56"/>
    </row>
    <row r="385" spans="1:14" s="56" customFormat="1">
      <c r="D385" s="188" t="s">
        <v>775</v>
      </c>
      <c r="E385" s="42">
        <v>0</v>
      </c>
      <c r="F385" s="42">
        <v>0</v>
      </c>
      <c r="G385" s="42">
        <v>0</v>
      </c>
      <c r="H385" s="42">
        <v>0</v>
      </c>
      <c r="I385" s="42">
        <v>0</v>
      </c>
      <c r="J385" s="42">
        <v>0</v>
      </c>
      <c r="K385" s="42">
        <v>0</v>
      </c>
      <c r="L385" s="42">
        <v>0</v>
      </c>
      <c r="M385" s="150">
        <f>SUM(E385:L385)</f>
        <v>0</v>
      </c>
    </row>
    <row r="386" spans="1:14" s="56" customFormat="1">
      <c r="D386" s="23" t="s">
        <v>776</v>
      </c>
      <c r="E386" s="42">
        <v>0</v>
      </c>
      <c r="F386" s="42">
        <v>0</v>
      </c>
      <c r="G386" s="42">
        <v>0</v>
      </c>
      <c r="H386" s="42">
        <v>0</v>
      </c>
      <c r="I386" s="42">
        <v>0</v>
      </c>
      <c r="J386" s="42">
        <v>0</v>
      </c>
      <c r="K386" s="42">
        <v>0</v>
      </c>
      <c r="L386" s="42">
        <v>0</v>
      </c>
      <c r="M386" s="150">
        <f>SUM(E386:L386)</f>
        <v>0</v>
      </c>
    </row>
    <row r="387" spans="1:14" s="56" customFormat="1">
      <c r="D387" s="23" t="s">
        <v>777</v>
      </c>
      <c r="E387" s="181">
        <f>+E385-E386</f>
        <v>0</v>
      </c>
      <c r="F387" s="181">
        <f t="shared" ref="F387:L387" si="22">+F385-F386</f>
        <v>0</v>
      </c>
      <c r="G387" s="181">
        <f t="shared" si="22"/>
        <v>0</v>
      </c>
      <c r="H387" s="181">
        <f t="shared" si="22"/>
        <v>0</v>
      </c>
      <c r="I387" s="181">
        <f t="shared" si="22"/>
        <v>0</v>
      </c>
      <c r="J387" s="181">
        <f t="shared" si="22"/>
        <v>0</v>
      </c>
      <c r="K387" s="181">
        <f t="shared" si="22"/>
        <v>0</v>
      </c>
      <c r="L387" s="181">
        <f t="shared" si="22"/>
        <v>0</v>
      </c>
      <c r="M387" s="150">
        <f>SUM(E387:L387)</f>
        <v>0</v>
      </c>
    </row>
    <row r="388" spans="1:14">
      <c r="A388" s="56"/>
      <c r="B388" s="56"/>
      <c r="C388" s="56"/>
      <c r="D388" s="285" t="s">
        <v>778</v>
      </c>
      <c r="E388" s="383"/>
      <c r="F388" s="383"/>
      <c r="G388" s="383"/>
      <c r="H388" s="383"/>
      <c r="I388" s="383"/>
      <c r="J388" s="383"/>
      <c r="K388" s="383"/>
      <c r="L388" s="383"/>
      <c r="M388" s="286"/>
      <c r="N388" s="56"/>
    </row>
    <row r="389" spans="1:14" s="56" customFormat="1">
      <c r="D389" s="23" t="s">
        <v>779</v>
      </c>
      <c r="E389" s="42" t="s">
        <v>788</v>
      </c>
      <c r="F389" s="42" t="s">
        <v>788</v>
      </c>
      <c r="G389" s="42" t="s">
        <v>788</v>
      </c>
      <c r="H389" s="42" t="s">
        <v>788</v>
      </c>
      <c r="I389" s="42" t="s">
        <v>788</v>
      </c>
      <c r="J389" s="42" t="s">
        <v>788</v>
      </c>
      <c r="K389" s="42" t="s">
        <v>788</v>
      </c>
      <c r="L389" s="42" t="s">
        <v>788</v>
      </c>
      <c r="M389" s="184"/>
    </row>
    <row r="390" spans="1:14" s="56" customFormat="1">
      <c r="D390" s="23" t="s">
        <v>780</v>
      </c>
      <c r="E390" s="42">
        <v>0</v>
      </c>
      <c r="F390" s="42">
        <v>0</v>
      </c>
      <c r="G390" s="42">
        <v>0</v>
      </c>
      <c r="H390" s="42">
        <v>0</v>
      </c>
      <c r="I390" s="42">
        <v>0</v>
      </c>
      <c r="J390" s="42">
        <v>0</v>
      </c>
      <c r="K390" s="42">
        <v>0</v>
      </c>
      <c r="L390" s="42">
        <v>0</v>
      </c>
      <c r="M390" s="150">
        <f>SUM(E390:L390)</f>
        <v>0</v>
      </c>
    </row>
    <row r="391" spans="1:14" s="56" customFormat="1">
      <c r="D391" s="23" t="s">
        <v>781</v>
      </c>
      <c r="E391" s="42">
        <v>0</v>
      </c>
      <c r="F391" s="42">
        <v>0</v>
      </c>
      <c r="G391" s="42">
        <v>0</v>
      </c>
      <c r="H391" s="42">
        <v>0</v>
      </c>
      <c r="I391" s="42">
        <v>0</v>
      </c>
      <c r="J391" s="42">
        <v>0</v>
      </c>
      <c r="K391" s="42">
        <v>0</v>
      </c>
      <c r="L391" s="42">
        <v>0</v>
      </c>
      <c r="M391" s="150">
        <f>SUM(E391:L391)</f>
        <v>0</v>
      </c>
    </row>
    <row r="392" spans="1:14" s="56" customFormat="1">
      <c r="D392" s="23" t="s">
        <v>782</v>
      </c>
      <c r="E392" s="181">
        <f>+E390-E391</f>
        <v>0</v>
      </c>
      <c r="F392" s="181">
        <f t="shared" ref="F392:L392" si="23">+F390-F391</f>
        <v>0</v>
      </c>
      <c r="G392" s="181">
        <f t="shared" si="23"/>
        <v>0</v>
      </c>
      <c r="H392" s="181">
        <f t="shared" si="23"/>
        <v>0</v>
      </c>
      <c r="I392" s="181">
        <f t="shared" si="23"/>
        <v>0</v>
      </c>
      <c r="J392" s="181">
        <f t="shared" si="23"/>
        <v>0</v>
      </c>
      <c r="K392" s="181">
        <f t="shared" si="23"/>
        <v>0</v>
      </c>
      <c r="L392" s="181">
        <f t="shared" si="23"/>
        <v>0</v>
      </c>
      <c r="M392" s="150">
        <f>SUM(E392:L392)</f>
        <v>0</v>
      </c>
    </row>
    <row r="393" spans="1:14">
      <c r="A393" s="56"/>
      <c r="B393" s="56"/>
      <c r="C393" s="56"/>
      <c r="D393" s="285" t="s">
        <v>783</v>
      </c>
      <c r="E393" s="383"/>
      <c r="F393" s="383"/>
      <c r="G393" s="383"/>
      <c r="H393" s="383"/>
      <c r="I393" s="383"/>
      <c r="J393" s="383"/>
      <c r="K393" s="383"/>
      <c r="L393" s="383"/>
      <c r="M393" s="286"/>
      <c r="N393" s="56"/>
    </row>
    <row r="394" spans="1:14" s="56" customFormat="1">
      <c r="D394" s="23" t="s">
        <v>784</v>
      </c>
      <c r="E394" s="42">
        <v>0</v>
      </c>
      <c r="F394" s="42">
        <v>0</v>
      </c>
      <c r="G394" s="42">
        <v>0</v>
      </c>
      <c r="H394" s="42">
        <v>0</v>
      </c>
      <c r="I394" s="42">
        <v>0</v>
      </c>
      <c r="J394" s="42">
        <v>0</v>
      </c>
      <c r="K394" s="42">
        <v>0</v>
      </c>
      <c r="L394" s="42">
        <v>0</v>
      </c>
      <c r="M394" s="150">
        <f>SUM(E394:L394)</f>
        <v>0</v>
      </c>
    </row>
    <row r="395" spans="1:14" s="56" customFormat="1">
      <c r="D395" s="23" t="s">
        <v>785</v>
      </c>
      <c r="E395" s="42">
        <v>0</v>
      </c>
      <c r="F395" s="42">
        <v>0</v>
      </c>
      <c r="G395" s="42">
        <v>0</v>
      </c>
      <c r="H395" s="42">
        <v>0</v>
      </c>
      <c r="I395" s="42">
        <v>0</v>
      </c>
      <c r="J395" s="42">
        <v>0</v>
      </c>
      <c r="K395" s="42">
        <v>0</v>
      </c>
      <c r="L395" s="42">
        <v>0</v>
      </c>
      <c r="M395" s="150">
        <f>SUM(E395:L395)</f>
        <v>0</v>
      </c>
    </row>
    <row r="396" spans="1:14">
      <c r="A396" s="56"/>
      <c r="B396" s="56"/>
      <c r="C396" s="56"/>
      <c r="D396" s="285" t="s">
        <v>786</v>
      </c>
      <c r="E396" s="383"/>
      <c r="F396" s="383"/>
      <c r="G396" s="383"/>
      <c r="H396" s="383"/>
      <c r="I396" s="383"/>
      <c r="J396" s="383"/>
      <c r="K396" s="383"/>
      <c r="L396" s="383"/>
      <c r="M396" s="286"/>
      <c r="N396" s="56"/>
    </row>
    <row r="397" spans="1:14" s="56" customFormat="1" ht="16" thickBot="1">
      <c r="D397" s="176" t="s">
        <v>787</v>
      </c>
      <c r="E397" s="106">
        <v>0</v>
      </c>
      <c r="F397" s="106">
        <v>0</v>
      </c>
      <c r="G397" s="106">
        <v>0</v>
      </c>
      <c r="H397" s="106">
        <v>0</v>
      </c>
      <c r="I397" s="106">
        <v>0</v>
      </c>
      <c r="J397" s="106">
        <v>0</v>
      </c>
      <c r="K397" s="106">
        <v>0</v>
      </c>
      <c r="L397" s="106">
        <v>0</v>
      </c>
      <c r="M397" s="164">
        <f>SUM(E397:L397)</f>
        <v>0</v>
      </c>
    </row>
    <row r="398" spans="1:14" ht="16" thickBot="1">
      <c r="A398" s="56"/>
      <c r="B398" s="56"/>
      <c r="C398" s="56"/>
      <c r="D398" s="4"/>
      <c r="E398" s="182"/>
      <c r="F398" s="182"/>
      <c r="G398" s="182"/>
      <c r="H398" s="182"/>
      <c r="I398" s="182"/>
      <c r="J398" s="182"/>
      <c r="K398" s="182"/>
      <c r="L398" s="182"/>
      <c r="M398" s="182"/>
      <c r="N398" s="56"/>
    </row>
    <row r="399" spans="1:14" ht="16" thickBot="1">
      <c r="A399" s="56"/>
      <c r="B399" s="56"/>
      <c r="C399" s="56"/>
      <c r="D399" s="296" t="s">
        <v>789</v>
      </c>
      <c r="E399" s="298"/>
      <c r="F399" s="182"/>
      <c r="G399" s="182"/>
      <c r="H399" s="182"/>
      <c r="I399" s="182"/>
      <c r="J399" s="182"/>
      <c r="K399" s="182"/>
      <c r="L399" s="182"/>
      <c r="M399" s="182"/>
      <c r="N399" s="56"/>
    </row>
    <row r="400" spans="1:14">
      <c r="A400" s="56"/>
      <c r="B400" s="56"/>
      <c r="C400" s="56"/>
      <c r="D400" s="153" t="s">
        <v>790</v>
      </c>
      <c r="E400" s="189">
        <v>0</v>
      </c>
      <c r="F400" s="182"/>
      <c r="G400" s="182"/>
      <c r="H400" s="182"/>
      <c r="I400" s="182"/>
      <c r="J400" s="182"/>
      <c r="K400" s="182"/>
      <c r="L400" s="182"/>
      <c r="M400" s="182"/>
      <c r="N400" s="56"/>
    </row>
    <row r="401" spans="1:14">
      <c r="A401" s="56"/>
      <c r="B401" s="56"/>
      <c r="C401" s="56"/>
      <c r="D401" s="23" t="s">
        <v>791</v>
      </c>
      <c r="E401" s="184">
        <f>+E400*0.5</f>
        <v>0</v>
      </c>
      <c r="F401" s="182"/>
      <c r="G401" s="182"/>
      <c r="H401" s="182"/>
      <c r="I401" s="182"/>
      <c r="J401" s="182"/>
      <c r="K401" s="182"/>
      <c r="L401" s="182"/>
      <c r="M401" s="182"/>
      <c r="N401" s="56"/>
    </row>
    <row r="402" spans="1:14">
      <c r="A402" s="56"/>
      <c r="B402" s="56"/>
      <c r="C402" s="56"/>
      <c r="D402" s="23" t="s">
        <v>792</v>
      </c>
      <c r="E402" s="41">
        <v>0</v>
      </c>
      <c r="F402" s="182"/>
      <c r="G402" s="182"/>
      <c r="H402" s="182"/>
      <c r="I402" s="182"/>
      <c r="J402" s="182"/>
      <c r="K402" s="182"/>
      <c r="L402" s="182"/>
      <c r="M402" s="182"/>
      <c r="N402" s="56"/>
    </row>
    <row r="403" spans="1:14" ht="16" thickBot="1">
      <c r="A403" s="56"/>
      <c r="B403" s="56"/>
      <c r="C403" s="56"/>
      <c r="D403" s="176" t="s">
        <v>793</v>
      </c>
      <c r="E403" s="186">
        <f>+E402-E401</f>
        <v>0</v>
      </c>
      <c r="F403" s="182"/>
      <c r="G403" s="182"/>
      <c r="H403" s="182"/>
      <c r="I403" s="182"/>
      <c r="J403" s="182"/>
      <c r="K403" s="182"/>
      <c r="L403" s="182"/>
      <c r="M403" s="182"/>
      <c r="N403" s="56"/>
    </row>
    <row r="404" spans="1:14" ht="16" thickBot="1">
      <c r="A404" s="56"/>
      <c r="B404" s="56"/>
      <c r="C404" s="56"/>
      <c r="D404" s="4"/>
      <c r="E404" s="182"/>
      <c r="F404" s="182"/>
      <c r="G404" s="182"/>
      <c r="H404" s="182"/>
      <c r="I404" s="182"/>
      <c r="J404" s="182"/>
      <c r="K404" s="182"/>
      <c r="L404" s="182"/>
      <c r="M404" s="182"/>
      <c r="N404" s="56"/>
    </row>
    <row r="405" spans="1:14" ht="16" thickBot="1">
      <c r="A405" s="56"/>
      <c r="B405" s="56"/>
      <c r="C405" s="56"/>
      <c r="D405" s="296" t="s">
        <v>794</v>
      </c>
      <c r="E405" s="298"/>
      <c r="F405" s="182"/>
      <c r="G405" s="182"/>
      <c r="H405" s="182"/>
      <c r="I405" s="182"/>
      <c r="J405" s="182"/>
      <c r="K405" s="182"/>
      <c r="L405" s="182"/>
      <c r="M405" s="182"/>
      <c r="N405" s="56"/>
    </row>
    <row r="406" spans="1:14">
      <c r="A406" s="56"/>
      <c r="B406" s="56"/>
      <c r="C406" s="56"/>
      <c r="D406" s="384" t="s">
        <v>795</v>
      </c>
      <c r="E406" s="385"/>
      <c r="F406" s="182"/>
      <c r="G406" s="182"/>
      <c r="H406" s="182"/>
      <c r="I406" s="182"/>
      <c r="J406" s="182"/>
      <c r="K406" s="182"/>
      <c r="L406" s="182"/>
      <c r="M406" s="182"/>
      <c r="N406" s="56"/>
    </row>
    <row r="407" spans="1:14">
      <c r="A407" s="56"/>
      <c r="B407" s="56"/>
      <c r="C407" s="56"/>
      <c r="D407" s="153" t="s">
        <v>798</v>
      </c>
      <c r="E407" s="41" t="s">
        <v>801</v>
      </c>
      <c r="F407" s="187"/>
      <c r="G407" s="187"/>
      <c r="H407" s="187"/>
      <c r="I407" s="182"/>
      <c r="J407" s="182"/>
      <c r="K407" s="182"/>
      <c r="L407" s="182"/>
      <c r="M407" s="182"/>
      <c r="N407" s="56"/>
    </row>
    <row r="408" spans="1:14">
      <c r="A408" s="56"/>
      <c r="B408" s="56"/>
      <c r="C408" s="56"/>
      <c r="D408" s="153" t="s">
        <v>796</v>
      </c>
      <c r="E408" s="41" t="s">
        <v>802</v>
      </c>
      <c r="F408" s="182"/>
      <c r="G408" s="182"/>
      <c r="H408" s="182"/>
      <c r="I408" s="182"/>
      <c r="J408" s="182"/>
      <c r="K408" s="182"/>
      <c r="L408" s="182"/>
      <c r="M408" s="182"/>
      <c r="N408" s="56"/>
    </row>
    <row r="409" spans="1:14">
      <c r="A409" s="56"/>
      <c r="B409" s="56"/>
      <c r="C409" s="56"/>
      <c r="D409" s="153" t="s">
        <v>797</v>
      </c>
      <c r="E409" s="41">
        <v>0</v>
      </c>
      <c r="F409" s="182"/>
      <c r="G409" s="182"/>
      <c r="H409" s="182"/>
      <c r="I409" s="182"/>
      <c r="J409" s="182"/>
      <c r="K409" s="182"/>
      <c r="L409" s="182"/>
      <c r="M409" s="182"/>
      <c r="N409" s="56"/>
    </row>
    <row r="410" spans="1:14">
      <c r="A410" s="56"/>
      <c r="B410" s="56"/>
      <c r="C410" s="56"/>
      <c r="D410" s="153" t="s">
        <v>799</v>
      </c>
      <c r="E410" s="41">
        <v>0</v>
      </c>
      <c r="F410" s="182"/>
      <c r="G410" s="182"/>
      <c r="H410" s="182"/>
      <c r="I410" s="182"/>
      <c r="J410" s="182"/>
      <c r="K410" s="182"/>
      <c r="L410" s="182"/>
      <c r="M410" s="182"/>
      <c r="N410" s="56"/>
    </row>
    <row r="411" spans="1:14" ht="16" thickBot="1">
      <c r="A411" s="56"/>
      <c r="B411" s="56"/>
      <c r="C411" s="56"/>
      <c r="D411" s="190" t="s">
        <v>800</v>
      </c>
      <c r="E411" s="99" t="s">
        <v>803</v>
      </c>
      <c r="F411" s="182"/>
      <c r="G411" s="182"/>
      <c r="H411" s="182"/>
      <c r="I411" s="182"/>
      <c r="J411" s="182"/>
      <c r="K411" s="182"/>
      <c r="L411" s="182"/>
      <c r="M411" s="182"/>
      <c r="N411" s="56"/>
    </row>
    <row r="412" spans="1:14" ht="16" thickBot="1">
      <c r="A412" s="56"/>
      <c r="B412" s="56"/>
      <c r="C412" s="56"/>
      <c r="D412" s="187"/>
      <c r="E412" s="182"/>
      <c r="F412" s="182"/>
      <c r="G412" s="182"/>
      <c r="H412" s="182"/>
      <c r="I412" s="182"/>
      <c r="J412" s="182"/>
      <c r="K412" s="182"/>
      <c r="L412" s="182"/>
      <c r="M412" s="182"/>
      <c r="N412" s="56"/>
    </row>
    <row r="413" spans="1:14" ht="16" thickBot="1">
      <c r="A413" s="56"/>
      <c r="B413" s="56"/>
      <c r="C413" s="56"/>
      <c r="D413" s="311" t="s">
        <v>804</v>
      </c>
      <c r="E413" s="360"/>
      <c r="F413" s="360"/>
      <c r="G413" s="360"/>
      <c r="H413" s="360"/>
      <c r="I413" s="360"/>
      <c r="J413" s="360"/>
      <c r="K413" s="360"/>
      <c r="L413" s="312"/>
      <c r="M413" s="56"/>
      <c r="N413" s="56"/>
    </row>
    <row r="414" spans="1:14">
      <c r="A414" s="56"/>
      <c r="B414" s="56"/>
      <c r="C414" s="56"/>
      <c r="D414" s="174" t="s">
        <v>805</v>
      </c>
      <c r="E414" s="169" t="str">
        <f>+E382</f>
        <v>Nord Stream AG (PE Russia)</v>
      </c>
      <c r="F414" s="169">
        <f t="shared" ref="F414:L414" si="24">+F382</f>
        <v>0</v>
      </c>
      <c r="G414" s="169">
        <f t="shared" si="24"/>
        <v>0</v>
      </c>
      <c r="H414" s="169">
        <f t="shared" si="24"/>
        <v>0</v>
      </c>
      <c r="I414" s="169">
        <f t="shared" si="24"/>
        <v>0</v>
      </c>
      <c r="J414" s="169">
        <f t="shared" si="24"/>
        <v>0</v>
      </c>
      <c r="K414" s="169">
        <f t="shared" si="24"/>
        <v>0</v>
      </c>
      <c r="L414" s="170">
        <f t="shared" si="24"/>
        <v>0</v>
      </c>
      <c r="M414" s="45" t="s">
        <v>245</v>
      </c>
      <c r="N414" s="45" t="s">
        <v>403</v>
      </c>
    </row>
    <row r="415" spans="1:14" ht="16" thickBot="1">
      <c r="A415" s="56"/>
      <c r="B415" s="56"/>
      <c r="C415" s="56"/>
      <c r="D415" s="176" t="s">
        <v>806</v>
      </c>
      <c r="E415" s="106" t="s">
        <v>807</v>
      </c>
      <c r="F415" s="106" t="s">
        <v>807</v>
      </c>
      <c r="G415" s="106" t="s">
        <v>807</v>
      </c>
      <c r="H415" s="106" t="s">
        <v>807</v>
      </c>
      <c r="I415" s="106" t="s">
        <v>807</v>
      </c>
      <c r="J415" s="106" t="s">
        <v>807</v>
      </c>
      <c r="K415" s="106" t="s">
        <v>807</v>
      </c>
      <c r="L415" s="99" t="s">
        <v>807</v>
      </c>
      <c r="M415" s="45" t="s">
        <v>404</v>
      </c>
      <c r="N415" s="45" t="s">
        <v>405</v>
      </c>
    </row>
    <row r="416" spans="1:14">
      <c r="A416" s="56"/>
      <c r="B416" s="56"/>
      <c r="C416" s="56"/>
      <c r="D416" s="56"/>
      <c r="E416" s="56"/>
      <c r="F416" s="7"/>
      <c r="G416" s="7"/>
      <c r="H416" s="7"/>
      <c r="I416" s="7"/>
      <c r="J416" s="7"/>
      <c r="K416" s="7"/>
      <c r="L416" s="7"/>
      <c r="M416" s="7"/>
      <c r="N416" s="7"/>
    </row>
    <row r="417" spans="1:15" ht="16" thickBot="1">
      <c r="A417" s="56"/>
      <c r="B417" s="56"/>
      <c r="C417" s="56"/>
      <c r="D417" s="56"/>
      <c r="E417" s="56"/>
      <c r="F417" s="7"/>
      <c r="G417" s="7"/>
      <c r="H417" s="7"/>
      <c r="I417" s="7"/>
      <c r="J417" s="7"/>
      <c r="K417" s="7"/>
      <c r="L417" s="7"/>
      <c r="M417" s="7"/>
      <c r="N417" s="7"/>
    </row>
    <row r="418" spans="1:15" ht="16" thickBot="1">
      <c r="A418" s="56"/>
      <c r="B418" s="56"/>
      <c r="C418" s="56"/>
      <c r="D418" s="296" t="s">
        <v>406</v>
      </c>
      <c r="E418" s="298" t="s">
        <v>1</v>
      </c>
      <c r="F418" s="2"/>
      <c r="G418" s="2"/>
      <c r="H418" s="2"/>
      <c r="I418" s="2"/>
      <c r="J418" s="7"/>
      <c r="K418" s="7"/>
      <c r="L418" s="7"/>
      <c r="M418" s="7"/>
      <c r="N418" s="7"/>
    </row>
    <row r="419" spans="1:15" ht="16" thickBot="1">
      <c r="A419" s="56"/>
      <c r="B419" s="56"/>
      <c r="C419" s="56"/>
      <c r="D419" s="296" t="s">
        <v>538</v>
      </c>
      <c r="E419" s="298"/>
      <c r="F419" s="2"/>
      <c r="G419" s="2"/>
      <c r="H419" s="2"/>
      <c r="I419" s="2"/>
      <c r="J419" s="7"/>
      <c r="K419" s="7"/>
      <c r="L419" s="7"/>
      <c r="M419" s="7"/>
      <c r="N419" s="7"/>
    </row>
    <row r="420" spans="1:15">
      <c r="A420" s="56"/>
      <c r="B420" s="56"/>
      <c r="C420" s="56"/>
      <c r="D420" s="202" t="s">
        <v>822</v>
      </c>
      <c r="E420" s="203">
        <f>IF(15%-E36&gt;0%,15%-E36,0)</f>
        <v>0</v>
      </c>
      <c r="F420" s="45" t="s">
        <v>407</v>
      </c>
      <c r="G420" s="45" t="s">
        <v>409</v>
      </c>
      <c r="H420" s="56"/>
      <c r="I420" s="56"/>
      <c r="J420" s="7"/>
      <c r="K420" s="7"/>
      <c r="L420" s="7"/>
      <c r="M420" s="7"/>
      <c r="N420" s="7"/>
      <c r="O420" s="32"/>
    </row>
    <row r="421" spans="1:15">
      <c r="A421" s="56"/>
      <c r="B421" s="56"/>
      <c r="C421" s="56"/>
      <c r="D421" s="24" t="s">
        <v>823</v>
      </c>
      <c r="E421" s="204">
        <f>+E437</f>
        <v>341400</v>
      </c>
      <c r="F421" s="45" t="s">
        <v>408</v>
      </c>
      <c r="G421" s="45" t="s">
        <v>411</v>
      </c>
      <c r="H421" s="56"/>
      <c r="I421" s="56"/>
      <c r="J421" s="7"/>
      <c r="K421" s="7"/>
      <c r="L421" s="7"/>
      <c r="M421" s="7"/>
      <c r="N421" s="7"/>
    </row>
    <row r="422" spans="1:15">
      <c r="A422" s="56"/>
      <c r="B422" s="56"/>
      <c r="C422" s="56"/>
      <c r="D422" s="24" t="s">
        <v>824</v>
      </c>
      <c r="E422" s="204">
        <f>+E16-E421</f>
        <v>-294487</v>
      </c>
      <c r="F422" s="45" t="s">
        <v>410</v>
      </c>
      <c r="G422" s="45" t="s">
        <v>413</v>
      </c>
      <c r="H422" s="56"/>
      <c r="I422" s="56"/>
      <c r="J422" s="7"/>
      <c r="K422" s="7"/>
      <c r="L422" s="7"/>
      <c r="M422" s="7"/>
      <c r="N422" s="7"/>
    </row>
    <row r="423" spans="1:15">
      <c r="A423" s="56"/>
      <c r="B423" s="56"/>
      <c r="C423" s="56"/>
      <c r="D423" s="24" t="s">
        <v>825</v>
      </c>
      <c r="E423" s="205">
        <f>+E475</f>
        <v>0</v>
      </c>
      <c r="F423" s="45" t="s">
        <v>412</v>
      </c>
      <c r="G423" s="45" t="s">
        <v>415</v>
      </c>
      <c r="H423" s="56"/>
      <c r="I423" s="56"/>
      <c r="J423" s="7"/>
      <c r="K423" s="7"/>
      <c r="L423" s="7"/>
      <c r="M423" s="7"/>
      <c r="N423" s="7"/>
    </row>
    <row r="424" spans="1:15">
      <c r="A424" s="56"/>
      <c r="B424" s="56"/>
      <c r="C424" s="56"/>
      <c r="D424" s="24" t="s">
        <v>826</v>
      </c>
      <c r="E424" s="41">
        <v>0</v>
      </c>
      <c r="F424" s="45" t="s">
        <v>414</v>
      </c>
      <c r="G424" s="45" t="s">
        <v>417</v>
      </c>
      <c r="H424" s="56"/>
      <c r="I424" s="56"/>
      <c r="J424" s="7"/>
      <c r="K424" s="7"/>
      <c r="L424" s="7"/>
      <c r="M424" s="7"/>
      <c r="N424" s="7"/>
    </row>
    <row r="425" spans="1:15" ht="16" thickBot="1">
      <c r="A425" s="56"/>
      <c r="B425" s="56"/>
      <c r="C425" s="56"/>
      <c r="D425" s="25" t="s">
        <v>827</v>
      </c>
      <c r="E425" s="206">
        <f>+(E420*E422)+E423-E424</f>
        <v>0</v>
      </c>
      <c r="F425" s="45" t="s">
        <v>416</v>
      </c>
      <c r="G425" s="45" t="s">
        <v>419</v>
      </c>
      <c r="H425" s="56"/>
      <c r="I425" s="56"/>
      <c r="J425" s="7"/>
      <c r="K425" s="7"/>
      <c r="L425" s="7"/>
      <c r="M425" s="7"/>
      <c r="N425" s="7"/>
    </row>
    <row r="426" spans="1:15" ht="16" thickBot="1">
      <c r="A426" s="56"/>
      <c r="B426" s="56"/>
      <c r="C426" s="56"/>
      <c r="D426" s="56"/>
      <c r="E426" s="56"/>
      <c r="F426" s="45" t="s">
        <v>418</v>
      </c>
      <c r="G426" s="45"/>
      <c r="H426" s="56"/>
      <c r="I426" s="56"/>
      <c r="J426" s="7"/>
      <c r="K426" s="7"/>
      <c r="L426" s="7"/>
      <c r="M426" s="7"/>
      <c r="N426" s="7"/>
    </row>
    <row r="427" spans="1:15" ht="16" hidden="1" thickBot="1">
      <c r="A427" s="56"/>
      <c r="B427" s="56"/>
      <c r="C427" s="56"/>
      <c r="D427" s="56"/>
      <c r="E427" s="56"/>
      <c r="F427" s="56"/>
      <c r="G427" s="56"/>
      <c r="H427" s="56"/>
      <c r="I427" s="56"/>
      <c r="J427" s="7"/>
      <c r="K427" s="7"/>
      <c r="L427" s="7"/>
      <c r="M427" s="7"/>
      <c r="N427" s="7"/>
    </row>
    <row r="428" spans="1:15" ht="16" thickBot="1">
      <c r="A428" s="56"/>
      <c r="B428" s="56"/>
      <c r="C428" s="56"/>
      <c r="D428" s="296" t="s">
        <v>420</v>
      </c>
      <c r="E428" s="298" t="s">
        <v>1</v>
      </c>
      <c r="F428" s="56"/>
      <c r="G428" s="56"/>
      <c r="H428" s="56"/>
      <c r="I428" s="56"/>
      <c r="J428" s="7"/>
      <c r="K428" s="7"/>
      <c r="L428" s="7"/>
      <c r="M428" s="7"/>
      <c r="N428" s="7"/>
    </row>
    <row r="429" spans="1:15" ht="16" thickBot="1">
      <c r="A429" s="56"/>
      <c r="B429" s="56"/>
      <c r="C429" s="56"/>
      <c r="D429" s="311" t="s">
        <v>833</v>
      </c>
      <c r="E429" s="312"/>
      <c r="F429" s="45"/>
      <c r="G429" s="45" t="s">
        <v>421</v>
      </c>
      <c r="I429" s="56"/>
      <c r="J429" s="7"/>
      <c r="K429" s="7"/>
      <c r="L429" s="7"/>
      <c r="M429" s="7"/>
      <c r="N429" s="7"/>
    </row>
    <row r="430" spans="1:15">
      <c r="A430" s="56"/>
      <c r="B430" s="56"/>
      <c r="C430" s="56"/>
      <c r="D430" s="386" t="s">
        <v>835</v>
      </c>
      <c r="E430" s="387"/>
      <c r="F430" s="45"/>
      <c r="G430" s="45"/>
      <c r="I430" s="56"/>
      <c r="J430" s="7"/>
      <c r="K430" s="7"/>
      <c r="L430" s="7"/>
      <c r="M430" s="7"/>
      <c r="N430" s="7"/>
    </row>
    <row r="431" spans="1:15">
      <c r="A431" s="56"/>
      <c r="B431" s="56"/>
      <c r="C431" s="56"/>
      <c r="D431" s="24" t="s">
        <v>828</v>
      </c>
      <c r="E431" s="204">
        <f>+M442</f>
        <v>300000</v>
      </c>
      <c r="F431" s="45" t="s">
        <v>422</v>
      </c>
      <c r="G431" s="45" t="s">
        <v>423</v>
      </c>
      <c r="I431" s="56"/>
      <c r="J431" s="7"/>
      <c r="K431" s="7"/>
      <c r="L431" s="7"/>
      <c r="M431" s="7"/>
      <c r="N431" s="7"/>
    </row>
    <row r="432" spans="1:15" ht="16" thickBot="1">
      <c r="A432" s="56"/>
      <c r="B432" s="56"/>
      <c r="C432" s="56"/>
      <c r="D432" s="208" t="s">
        <v>829</v>
      </c>
      <c r="E432" s="209">
        <v>9.8000000000000004E-2</v>
      </c>
      <c r="F432" s="45" t="s">
        <v>424</v>
      </c>
      <c r="G432" s="45" t="s">
        <v>425</v>
      </c>
      <c r="I432" s="56"/>
      <c r="J432" s="7"/>
      <c r="K432" s="7"/>
      <c r="L432" s="7"/>
      <c r="M432" s="7"/>
      <c r="N432" s="7"/>
    </row>
    <row r="433" spans="1:30">
      <c r="A433" s="56"/>
      <c r="B433" s="56"/>
      <c r="C433" s="56"/>
      <c r="D433" s="379" t="s">
        <v>836</v>
      </c>
      <c r="E433" s="380"/>
      <c r="F433" s="45"/>
      <c r="G433" s="45"/>
      <c r="I433" s="56"/>
      <c r="J433" s="7"/>
      <c r="K433" s="7"/>
      <c r="L433" s="7"/>
      <c r="M433" s="7"/>
      <c r="N433" s="7"/>
    </row>
    <row r="434" spans="1:30">
      <c r="A434" s="56"/>
      <c r="B434" s="56"/>
      <c r="C434" s="56"/>
      <c r="D434" s="24" t="s">
        <v>830</v>
      </c>
      <c r="E434" s="204">
        <f>+M443</f>
        <v>4000000</v>
      </c>
      <c r="F434" s="45" t="s">
        <v>426</v>
      </c>
      <c r="G434" s="45" t="s">
        <v>427</v>
      </c>
      <c r="I434" s="92"/>
      <c r="J434" s="7"/>
      <c r="K434" s="7"/>
      <c r="L434" s="7"/>
      <c r="M434" s="7"/>
      <c r="N434" s="7"/>
    </row>
    <row r="435" spans="1:30" ht="16" thickBot="1">
      <c r="A435" s="56"/>
      <c r="B435" s="56"/>
      <c r="C435" s="56"/>
      <c r="D435" s="208" t="s">
        <v>831</v>
      </c>
      <c r="E435" s="209">
        <v>7.8E-2</v>
      </c>
      <c r="F435" s="45" t="s">
        <v>428</v>
      </c>
      <c r="G435" s="45" t="s">
        <v>429</v>
      </c>
      <c r="I435" s="56"/>
      <c r="J435" s="7"/>
      <c r="K435" s="7"/>
      <c r="L435" s="7"/>
      <c r="M435" s="7"/>
      <c r="N435" s="7"/>
    </row>
    <row r="436" spans="1:30">
      <c r="A436" s="56"/>
      <c r="B436" s="56"/>
      <c r="C436" s="56"/>
      <c r="D436" s="379" t="s">
        <v>114</v>
      </c>
      <c r="E436" s="380"/>
      <c r="F436" s="45"/>
      <c r="G436" s="45"/>
      <c r="I436" s="56"/>
      <c r="J436" s="7"/>
      <c r="K436" s="7"/>
      <c r="L436" s="7"/>
      <c r="M436" s="7"/>
      <c r="N436" s="7"/>
    </row>
    <row r="437" spans="1:30" ht="16" thickBot="1">
      <c r="A437" s="56"/>
      <c r="B437" s="56"/>
      <c r="C437" s="56"/>
      <c r="D437" s="25" t="s">
        <v>832</v>
      </c>
      <c r="E437" s="206">
        <f>(E431*E432)+(E434*E435)</f>
        <v>341400</v>
      </c>
      <c r="F437" s="45" t="s">
        <v>430</v>
      </c>
      <c r="G437" s="45" t="s">
        <v>431</v>
      </c>
      <c r="I437" s="56"/>
      <c r="J437" s="7"/>
      <c r="K437" s="7"/>
      <c r="L437" s="7"/>
      <c r="M437" s="7"/>
      <c r="N437" s="7"/>
    </row>
    <row r="438" spans="1:30">
      <c r="A438" s="56"/>
      <c r="B438" s="56"/>
      <c r="C438" s="56"/>
      <c r="D438" s="56"/>
      <c r="E438" s="56"/>
      <c r="F438" s="56"/>
      <c r="G438" s="56"/>
      <c r="H438" s="56"/>
      <c r="I438" s="56"/>
      <c r="J438" s="7"/>
      <c r="K438" s="7"/>
      <c r="L438" s="7"/>
      <c r="M438" s="7"/>
      <c r="N438" s="7"/>
    </row>
    <row r="439" spans="1:30" ht="16" thickBot="1">
      <c r="A439" s="56"/>
      <c r="B439" s="56"/>
      <c r="C439" s="56"/>
      <c r="D439" s="56"/>
      <c r="E439" s="56"/>
      <c r="F439" s="56"/>
      <c r="G439" s="56"/>
      <c r="H439" s="56"/>
      <c r="I439" s="56"/>
      <c r="J439" s="7"/>
      <c r="K439" s="7"/>
      <c r="L439" s="7"/>
      <c r="M439" s="7"/>
      <c r="N439" s="7"/>
    </row>
    <row r="440" spans="1:30" ht="16" thickBot="1">
      <c r="A440" s="56"/>
      <c r="B440" s="56"/>
      <c r="C440" s="56"/>
      <c r="D440" s="296" t="s">
        <v>834</v>
      </c>
      <c r="E440" s="297"/>
      <c r="F440" s="297"/>
      <c r="G440" s="297"/>
      <c r="H440" s="297"/>
      <c r="I440" s="297"/>
      <c r="J440" s="297"/>
      <c r="K440" s="297"/>
      <c r="L440" s="297"/>
      <c r="M440" s="298"/>
      <c r="N440" s="45" t="s">
        <v>432</v>
      </c>
      <c r="O440" s="45"/>
    </row>
    <row r="441" spans="1:30" ht="16" thickBot="1">
      <c r="A441" s="56"/>
      <c r="B441" s="56"/>
      <c r="C441" s="56"/>
      <c r="D441" s="210"/>
      <c r="E441" s="211" t="str">
        <f>+E414</f>
        <v>Nord Stream AG (PE Russia)</v>
      </c>
      <c r="F441" s="211">
        <f t="shared" ref="F441:L441" si="25">+F414</f>
        <v>0</v>
      </c>
      <c r="G441" s="211">
        <f t="shared" si="25"/>
        <v>0</v>
      </c>
      <c r="H441" s="211">
        <f t="shared" si="25"/>
        <v>0</v>
      </c>
      <c r="I441" s="211">
        <f t="shared" si="25"/>
        <v>0</v>
      </c>
      <c r="J441" s="211">
        <f t="shared" si="25"/>
        <v>0</v>
      </c>
      <c r="K441" s="211">
        <f t="shared" si="25"/>
        <v>0</v>
      </c>
      <c r="L441" s="211">
        <f t="shared" si="25"/>
        <v>0</v>
      </c>
      <c r="M441" s="212" t="s">
        <v>843</v>
      </c>
      <c r="N441" s="45" t="s">
        <v>245</v>
      </c>
      <c r="O441" s="45"/>
    </row>
    <row r="442" spans="1:30" ht="58.5" customHeight="1">
      <c r="A442" s="56"/>
      <c r="B442" s="56"/>
      <c r="C442" s="56"/>
      <c r="D442" s="207" t="s">
        <v>838</v>
      </c>
      <c r="E442" s="194">
        <v>300000</v>
      </c>
      <c r="F442" s="194">
        <v>0</v>
      </c>
      <c r="G442" s="194">
        <v>0</v>
      </c>
      <c r="H442" s="194">
        <v>0</v>
      </c>
      <c r="I442" s="194">
        <v>0</v>
      </c>
      <c r="J442" s="194">
        <v>0</v>
      </c>
      <c r="K442" s="194">
        <v>0</v>
      </c>
      <c r="L442" s="194">
        <v>0</v>
      </c>
      <c r="M442" s="213">
        <f>SUM(E442:L442)</f>
        <v>300000</v>
      </c>
      <c r="N442" s="45" t="s">
        <v>422</v>
      </c>
      <c r="O442" s="45" t="s">
        <v>433</v>
      </c>
      <c r="P442" s="325" t="s">
        <v>434</v>
      </c>
      <c r="Q442" s="326"/>
      <c r="R442" s="326"/>
      <c r="S442" s="326"/>
      <c r="T442" s="326"/>
      <c r="U442" s="326"/>
      <c r="V442" s="326"/>
      <c r="W442" s="326"/>
      <c r="X442" s="326"/>
      <c r="Y442" s="326"/>
      <c r="Z442" s="326"/>
      <c r="AA442" s="326"/>
      <c r="AB442" s="326"/>
      <c r="AC442" s="326"/>
      <c r="AD442" s="327"/>
    </row>
    <row r="443" spans="1:30" ht="69.5" customHeight="1">
      <c r="A443" s="56"/>
      <c r="B443" s="56"/>
      <c r="C443" s="56"/>
      <c r="D443" s="141" t="s">
        <v>839</v>
      </c>
      <c r="E443" s="42">
        <v>4000000</v>
      </c>
      <c r="F443" s="42">
        <v>0</v>
      </c>
      <c r="G443" s="42">
        <v>0</v>
      </c>
      <c r="H443" s="42">
        <v>0</v>
      </c>
      <c r="I443" s="42">
        <v>0</v>
      </c>
      <c r="J443" s="42">
        <v>0</v>
      </c>
      <c r="K443" s="42">
        <v>0</v>
      </c>
      <c r="L443" s="42">
        <v>0</v>
      </c>
      <c r="M443" s="204">
        <f>SUM(E443:L443)</f>
        <v>4000000</v>
      </c>
      <c r="N443" s="45" t="s">
        <v>426</v>
      </c>
      <c r="O443" s="45" t="s">
        <v>435</v>
      </c>
      <c r="P443" s="325" t="s">
        <v>436</v>
      </c>
      <c r="Q443" s="326"/>
      <c r="R443" s="326"/>
      <c r="S443" s="326"/>
      <c r="T443" s="326"/>
      <c r="U443" s="326"/>
      <c r="V443" s="326"/>
      <c r="W443" s="326"/>
      <c r="X443" s="326"/>
      <c r="Y443" s="326"/>
      <c r="Z443" s="326"/>
      <c r="AA443" s="326"/>
      <c r="AB443" s="326"/>
      <c r="AC443" s="326"/>
      <c r="AD443" s="327"/>
    </row>
    <row r="444" spans="1:30">
      <c r="A444" s="56"/>
      <c r="B444" s="56"/>
      <c r="C444" s="56"/>
      <c r="D444" s="141" t="s">
        <v>439</v>
      </c>
      <c r="E444" s="42" t="s">
        <v>840</v>
      </c>
      <c r="F444" s="42" t="s">
        <v>840</v>
      </c>
      <c r="G444" s="42" t="s">
        <v>840</v>
      </c>
      <c r="H444" s="42" t="s">
        <v>840</v>
      </c>
      <c r="I444" s="42" t="s">
        <v>840</v>
      </c>
      <c r="J444" s="42" t="s">
        <v>840</v>
      </c>
      <c r="K444" s="42" t="s">
        <v>840</v>
      </c>
      <c r="L444" s="42" t="s">
        <v>840</v>
      </c>
      <c r="M444" s="204"/>
      <c r="N444" s="45" t="s">
        <v>437</v>
      </c>
      <c r="O444" s="45" t="s">
        <v>438</v>
      </c>
    </row>
    <row r="445" spans="1:30">
      <c r="A445" s="56"/>
      <c r="B445" s="56"/>
      <c r="C445" s="56"/>
      <c r="D445" s="141" t="s">
        <v>841</v>
      </c>
      <c r="E445" s="42">
        <v>0</v>
      </c>
      <c r="F445" s="42">
        <v>0</v>
      </c>
      <c r="G445" s="42">
        <v>0</v>
      </c>
      <c r="H445" s="42">
        <v>0</v>
      </c>
      <c r="I445" s="42">
        <v>0</v>
      </c>
      <c r="J445" s="42">
        <v>0</v>
      </c>
      <c r="K445" s="42">
        <v>0</v>
      </c>
      <c r="L445" s="42">
        <v>0</v>
      </c>
      <c r="M445" s="204">
        <f>SUM(E445:L445)</f>
        <v>0</v>
      </c>
      <c r="N445" s="45" t="s">
        <v>422</v>
      </c>
      <c r="O445" s="45" t="s">
        <v>440</v>
      </c>
    </row>
    <row r="446" spans="1:30" ht="16" thickBot="1">
      <c r="A446" s="56"/>
      <c r="B446" s="56"/>
      <c r="C446" s="56"/>
      <c r="D446" s="201" t="s">
        <v>837</v>
      </c>
      <c r="E446" s="106">
        <v>0</v>
      </c>
      <c r="F446" s="106">
        <v>0</v>
      </c>
      <c r="G446" s="106">
        <v>0</v>
      </c>
      <c r="H446" s="106">
        <v>0</v>
      </c>
      <c r="I446" s="106">
        <v>0</v>
      </c>
      <c r="J446" s="106">
        <v>0</v>
      </c>
      <c r="K446" s="106">
        <v>0</v>
      </c>
      <c r="L446" s="106">
        <v>0</v>
      </c>
      <c r="M446" s="206">
        <f>SUM(E446:L446)</f>
        <v>0</v>
      </c>
      <c r="N446" s="45" t="s">
        <v>426</v>
      </c>
      <c r="O446" s="45" t="s">
        <v>441</v>
      </c>
    </row>
    <row r="447" spans="1:30">
      <c r="A447" s="56"/>
      <c r="B447" s="56"/>
      <c r="C447" s="56"/>
      <c r="D447" s="56"/>
      <c r="E447" s="56"/>
      <c r="F447" s="56"/>
      <c r="G447" s="56"/>
      <c r="H447" s="56"/>
      <c r="I447" s="56"/>
      <c r="J447" s="7"/>
      <c r="K447" s="7"/>
      <c r="L447" s="7"/>
      <c r="M447" s="7"/>
      <c r="N447" s="7"/>
    </row>
    <row r="448" spans="1:30" ht="16" thickBot="1">
      <c r="A448" s="56"/>
      <c r="B448" s="56"/>
      <c r="C448" s="56"/>
      <c r="D448" s="56"/>
      <c r="E448" s="56"/>
      <c r="F448" s="56"/>
      <c r="G448" s="56"/>
      <c r="H448" s="56"/>
      <c r="I448" s="56"/>
      <c r="J448" s="7"/>
      <c r="K448" s="7"/>
      <c r="L448" s="7"/>
      <c r="M448" s="7"/>
      <c r="N448" s="7"/>
    </row>
    <row r="449" spans="1:15" ht="16" thickBot="1">
      <c r="A449" s="56"/>
      <c r="B449" s="56"/>
      <c r="C449" s="56"/>
      <c r="D449" s="296" t="s">
        <v>842</v>
      </c>
      <c r="E449" s="297"/>
      <c r="F449" s="297"/>
      <c r="G449" s="297"/>
      <c r="H449" s="297"/>
      <c r="I449" s="297"/>
      <c r="J449" s="297"/>
      <c r="K449" s="297"/>
      <c r="L449" s="297"/>
      <c r="M449" s="298"/>
      <c r="N449" s="45" t="s">
        <v>442</v>
      </c>
      <c r="O449" s="45"/>
    </row>
    <row r="450" spans="1:15" ht="16" thickBot="1">
      <c r="A450" s="56"/>
      <c r="B450" s="56"/>
      <c r="C450" s="56"/>
      <c r="D450" s="214"/>
      <c r="E450" s="211" t="str">
        <f>+E441</f>
        <v>Nord Stream AG (PE Russia)</v>
      </c>
      <c r="F450" s="211">
        <f t="shared" ref="F450:L452" si="26">+F441</f>
        <v>0</v>
      </c>
      <c r="G450" s="211">
        <f t="shared" si="26"/>
        <v>0</v>
      </c>
      <c r="H450" s="211">
        <f t="shared" si="26"/>
        <v>0</v>
      </c>
      <c r="I450" s="211">
        <f t="shared" si="26"/>
        <v>0</v>
      </c>
      <c r="J450" s="211">
        <f t="shared" si="26"/>
        <v>0</v>
      </c>
      <c r="K450" s="211">
        <f t="shared" si="26"/>
        <v>0</v>
      </c>
      <c r="L450" s="211">
        <f t="shared" si="26"/>
        <v>0</v>
      </c>
      <c r="M450" s="212" t="s">
        <v>843</v>
      </c>
      <c r="N450" s="45"/>
      <c r="O450" s="45"/>
    </row>
    <row r="451" spans="1:15">
      <c r="A451" s="56"/>
      <c r="B451" s="56"/>
      <c r="C451" s="56"/>
      <c r="D451" s="168" t="s">
        <v>838</v>
      </c>
      <c r="E451" s="219">
        <f>+E442</f>
        <v>300000</v>
      </c>
      <c r="F451" s="219">
        <f t="shared" si="26"/>
        <v>0</v>
      </c>
      <c r="G451" s="219">
        <f t="shared" si="26"/>
        <v>0</v>
      </c>
      <c r="H451" s="219">
        <f t="shared" si="26"/>
        <v>0</v>
      </c>
      <c r="I451" s="219">
        <f t="shared" si="26"/>
        <v>0</v>
      </c>
      <c r="J451" s="219">
        <f t="shared" si="26"/>
        <v>0</v>
      </c>
      <c r="K451" s="219">
        <f t="shared" si="26"/>
        <v>0</v>
      </c>
      <c r="L451" s="219">
        <f t="shared" si="26"/>
        <v>0</v>
      </c>
      <c r="M451" s="220">
        <f>+M442</f>
        <v>300000</v>
      </c>
      <c r="N451" s="45" t="s">
        <v>422</v>
      </c>
      <c r="O451" s="45" t="s">
        <v>443</v>
      </c>
    </row>
    <row r="452" spans="1:15" ht="15" customHeight="1">
      <c r="A452" s="56"/>
      <c r="B452" s="56"/>
      <c r="C452" s="56"/>
      <c r="D452" s="161" t="s">
        <v>839</v>
      </c>
      <c r="E452" s="215">
        <f>+E443</f>
        <v>4000000</v>
      </c>
      <c r="F452" s="215">
        <f t="shared" si="26"/>
        <v>0</v>
      </c>
      <c r="G452" s="215">
        <f t="shared" si="26"/>
        <v>0</v>
      </c>
      <c r="H452" s="215">
        <f t="shared" si="26"/>
        <v>0</v>
      </c>
      <c r="I452" s="215">
        <f t="shared" si="26"/>
        <v>0</v>
      </c>
      <c r="J452" s="215">
        <f t="shared" si="26"/>
        <v>0</v>
      </c>
      <c r="K452" s="215">
        <f t="shared" si="26"/>
        <v>0</v>
      </c>
      <c r="L452" s="215">
        <f t="shared" si="26"/>
        <v>0</v>
      </c>
      <c r="M452" s="221">
        <f>+M443</f>
        <v>4000000</v>
      </c>
      <c r="N452" s="45" t="s">
        <v>426</v>
      </c>
      <c r="O452" s="45" t="s">
        <v>444</v>
      </c>
    </row>
    <row r="453" spans="1:15">
      <c r="A453" s="56"/>
      <c r="B453" s="56"/>
      <c r="C453" s="56"/>
      <c r="D453" s="161" t="s">
        <v>446</v>
      </c>
      <c r="E453" s="42" t="s">
        <v>844</v>
      </c>
      <c r="F453" s="42" t="s">
        <v>844</v>
      </c>
      <c r="G453" s="42" t="s">
        <v>844</v>
      </c>
      <c r="H453" s="42" t="s">
        <v>844</v>
      </c>
      <c r="I453" s="42" t="s">
        <v>844</v>
      </c>
      <c r="J453" s="42" t="s">
        <v>844</v>
      </c>
      <c r="K453" s="42" t="s">
        <v>844</v>
      </c>
      <c r="L453" s="42" t="s">
        <v>844</v>
      </c>
      <c r="M453" s="222"/>
      <c r="N453" s="45" t="s">
        <v>437</v>
      </c>
      <c r="O453" s="45" t="s">
        <v>445</v>
      </c>
    </row>
    <row r="454" spans="1:15">
      <c r="A454" s="56"/>
      <c r="B454" s="56"/>
      <c r="C454" s="56"/>
      <c r="D454" s="161" t="s">
        <v>448</v>
      </c>
      <c r="E454" s="42">
        <v>0</v>
      </c>
      <c r="F454" s="42">
        <v>0</v>
      </c>
      <c r="G454" s="42">
        <v>0</v>
      </c>
      <c r="H454" s="42">
        <v>0</v>
      </c>
      <c r="I454" s="42">
        <v>0</v>
      </c>
      <c r="J454" s="42">
        <v>0</v>
      </c>
      <c r="K454" s="42">
        <v>0</v>
      </c>
      <c r="L454" s="42">
        <v>0</v>
      </c>
      <c r="M454" s="204">
        <f>SUM(E454:L454)</f>
        <v>0</v>
      </c>
      <c r="N454" s="45" t="s">
        <v>422</v>
      </c>
      <c r="O454" s="45" t="s">
        <v>447</v>
      </c>
    </row>
    <row r="455" spans="1:15" ht="16" thickBot="1">
      <c r="A455" s="56"/>
      <c r="B455" s="56"/>
      <c r="C455" s="56"/>
      <c r="D455" s="162" t="s">
        <v>450</v>
      </c>
      <c r="E455" s="106">
        <v>0</v>
      </c>
      <c r="F455" s="106">
        <v>0</v>
      </c>
      <c r="G455" s="106">
        <v>0</v>
      </c>
      <c r="H455" s="106">
        <v>0</v>
      </c>
      <c r="I455" s="106">
        <v>0</v>
      </c>
      <c r="J455" s="106">
        <v>0</v>
      </c>
      <c r="K455" s="106">
        <v>0</v>
      </c>
      <c r="L455" s="106">
        <v>0</v>
      </c>
      <c r="M455" s="206">
        <f>SUM(E455:L455)</f>
        <v>0</v>
      </c>
      <c r="N455" s="45" t="s">
        <v>426</v>
      </c>
      <c r="O455" s="45" t="s">
        <v>449</v>
      </c>
    </row>
    <row r="456" spans="1:15" ht="15" customHeight="1" thickBot="1"/>
    <row r="457" spans="1:15" ht="15" hidden="1" customHeight="1" thickBot="1"/>
    <row r="458" spans="1:15" ht="16" thickBot="1">
      <c r="D458" s="296" t="s">
        <v>451</v>
      </c>
      <c r="E458" s="298" t="s">
        <v>102</v>
      </c>
      <c r="F458" s="10"/>
      <c r="G458" s="10"/>
      <c r="H458" s="10"/>
      <c r="I458" s="10"/>
      <c r="J458" s="10"/>
      <c r="K458" s="10"/>
      <c r="L458" s="10"/>
      <c r="M458" s="10"/>
      <c r="N458" s="10"/>
    </row>
    <row r="459" spans="1:15" ht="16" thickBot="1">
      <c r="D459" s="296" t="s">
        <v>845</v>
      </c>
      <c r="E459" s="298"/>
      <c r="F459" s="5"/>
      <c r="G459" s="5"/>
      <c r="H459" s="5"/>
      <c r="I459" s="5"/>
      <c r="J459" s="5"/>
      <c r="K459" s="5"/>
      <c r="L459" s="5"/>
      <c r="M459" s="5"/>
      <c r="N459" s="5"/>
    </row>
    <row r="460" spans="1:15">
      <c r="D460" s="202" t="s">
        <v>846</v>
      </c>
      <c r="E460" s="195"/>
      <c r="F460" s="45" t="s">
        <v>452</v>
      </c>
      <c r="G460" s="5"/>
      <c r="H460" s="5"/>
      <c r="I460" s="5"/>
      <c r="J460" s="5"/>
      <c r="K460" s="5"/>
      <c r="L460" s="5"/>
      <c r="M460" s="5"/>
      <c r="N460" s="5"/>
    </row>
    <row r="461" spans="1:15" ht="16" thickBot="1">
      <c r="D461" s="208" t="s">
        <v>847</v>
      </c>
      <c r="E461" s="112"/>
      <c r="F461" s="45" t="s">
        <v>374</v>
      </c>
      <c r="G461" s="5"/>
      <c r="H461" s="5"/>
      <c r="I461" s="56"/>
      <c r="J461" s="56"/>
      <c r="K461" s="56"/>
      <c r="L461" s="56"/>
      <c r="M461" s="5"/>
      <c r="N461" s="5"/>
    </row>
    <row r="462" spans="1:15">
      <c r="D462" s="216" t="s">
        <v>848</v>
      </c>
      <c r="E462" s="217" t="s">
        <v>849</v>
      </c>
      <c r="F462" s="218" t="s">
        <v>850</v>
      </c>
      <c r="G462" s="5"/>
      <c r="H462" s="5"/>
      <c r="I462" s="56"/>
      <c r="J462" s="56"/>
      <c r="K462" s="56"/>
      <c r="L462" s="56"/>
      <c r="M462" s="5"/>
      <c r="N462" s="5"/>
    </row>
    <row r="463" spans="1:15">
      <c r="D463" s="24" t="s">
        <v>851</v>
      </c>
      <c r="E463" s="42"/>
      <c r="F463" s="41"/>
      <c r="G463" s="45" t="s">
        <v>10</v>
      </c>
      <c r="H463" s="5"/>
      <c r="I463" s="56"/>
      <c r="J463" s="56"/>
      <c r="K463" s="56"/>
      <c r="L463" s="56"/>
      <c r="M463" s="5"/>
      <c r="N463" s="5"/>
    </row>
    <row r="464" spans="1:15">
      <c r="D464" s="24" t="s">
        <v>852</v>
      </c>
      <c r="E464" s="42"/>
      <c r="F464" s="41"/>
      <c r="G464" s="45" t="s">
        <v>14</v>
      </c>
      <c r="H464" s="5"/>
      <c r="I464" s="56"/>
      <c r="J464" s="56"/>
      <c r="K464" s="56"/>
      <c r="L464" s="56"/>
      <c r="M464" s="5"/>
      <c r="N464" s="5"/>
    </row>
    <row r="465" spans="4:14">
      <c r="D465" s="24" t="s">
        <v>853</v>
      </c>
      <c r="E465" s="42"/>
      <c r="F465" s="41"/>
      <c r="G465" s="45" t="s">
        <v>16</v>
      </c>
      <c r="H465" s="5"/>
      <c r="I465" s="5"/>
      <c r="J465" s="5"/>
      <c r="K465" s="5"/>
      <c r="L465" s="5"/>
      <c r="M465" s="5"/>
      <c r="N465" s="5"/>
    </row>
    <row r="466" spans="4:14">
      <c r="D466" s="24" t="s">
        <v>854</v>
      </c>
      <c r="E466" s="42"/>
      <c r="F466" s="41"/>
      <c r="G466" s="45" t="s">
        <v>453</v>
      </c>
      <c r="H466" s="5"/>
      <c r="I466" s="5"/>
      <c r="J466" s="5"/>
      <c r="K466" s="5"/>
      <c r="L466" s="5"/>
      <c r="M466" s="5"/>
      <c r="N466" s="5"/>
    </row>
    <row r="467" spans="4:14">
      <c r="D467" s="24" t="s">
        <v>855</v>
      </c>
      <c r="E467" s="42"/>
      <c r="F467" s="41"/>
      <c r="G467" s="45" t="s">
        <v>408</v>
      </c>
      <c r="H467" s="5"/>
      <c r="I467" s="5"/>
      <c r="J467" s="5"/>
      <c r="K467" s="5"/>
      <c r="L467" s="5"/>
      <c r="M467" s="5"/>
      <c r="N467" s="5"/>
    </row>
    <row r="468" spans="4:14">
      <c r="D468" s="24" t="s">
        <v>856</v>
      </c>
      <c r="E468" s="42"/>
      <c r="F468" s="41"/>
      <c r="G468" s="45" t="s">
        <v>418</v>
      </c>
      <c r="H468" s="5"/>
      <c r="I468" s="5"/>
      <c r="J468" s="5"/>
      <c r="K468" s="5"/>
      <c r="L468" s="5"/>
      <c r="M468" s="5"/>
      <c r="N468" s="5"/>
    </row>
    <row r="469" spans="4:14" ht="16" thickBot="1">
      <c r="D469" s="25" t="s">
        <v>857</v>
      </c>
      <c r="E469" s="381"/>
      <c r="F469" s="382"/>
      <c r="G469" s="45" t="s">
        <v>414</v>
      </c>
      <c r="H469" s="5"/>
      <c r="I469" s="5"/>
      <c r="J469" s="5"/>
      <c r="K469" s="5"/>
      <c r="L469" s="5"/>
      <c r="M469" s="5"/>
      <c r="N469" s="5"/>
    </row>
    <row r="470" spans="4:14" ht="16" thickBot="1">
      <c r="E470" s="5"/>
      <c r="F470" s="5"/>
      <c r="G470" s="5"/>
      <c r="H470" s="5"/>
      <c r="I470" s="5"/>
      <c r="J470" s="5"/>
      <c r="K470" s="5"/>
      <c r="L470" s="5"/>
      <c r="M470" s="5"/>
      <c r="N470" s="5"/>
    </row>
    <row r="471" spans="4:14" ht="16" thickBot="1">
      <c r="D471" s="296" t="s">
        <v>858</v>
      </c>
      <c r="E471" s="298" t="s">
        <v>455</v>
      </c>
      <c r="F471" s="45" t="s">
        <v>454</v>
      </c>
      <c r="G471" s="5"/>
      <c r="H471" s="5"/>
      <c r="I471" s="5"/>
      <c r="J471" s="5"/>
      <c r="K471" s="5"/>
      <c r="L471" s="5"/>
      <c r="M471" s="5"/>
      <c r="N471" s="5"/>
    </row>
    <row r="472" spans="4:14">
      <c r="D472" s="202" t="s">
        <v>859</v>
      </c>
      <c r="E472" s="195"/>
      <c r="F472" s="45" t="s">
        <v>101</v>
      </c>
      <c r="G472" s="5"/>
      <c r="H472" s="5"/>
      <c r="I472" s="5"/>
      <c r="J472" s="5"/>
      <c r="K472" s="5"/>
      <c r="L472" s="5"/>
      <c r="M472" s="5"/>
      <c r="N472" s="5"/>
    </row>
    <row r="473" spans="4:14">
      <c r="D473" s="24" t="s">
        <v>860</v>
      </c>
      <c r="E473" s="41"/>
      <c r="F473" s="45" t="s">
        <v>456</v>
      </c>
      <c r="G473" s="56"/>
      <c r="H473" s="5"/>
      <c r="I473" s="5"/>
      <c r="J473" s="5"/>
      <c r="K473" s="5"/>
      <c r="L473" s="5"/>
      <c r="M473" s="5"/>
      <c r="N473" s="5"/>
    </row>
    <row r="474" spans="4:14">
      <c r="D474" s="24" t="s">
        <v>861</v>
      </c>
      <c r="E474" s="41"/>
      <c r="F474" s="45" t="s">
        <v>457</v>
      </c>
      <c r="G474" s="5"/>
      <c r="H474" s="5"/>
      <c r="I474" s="5"/>
      <c r="J474" s="5"/>
      <c r="K474" s="5"/>
      <c r="L474" s="5"/>
      <c r="M474" s="5"/>
      <c r="N474" s="5"/>
    </row>
    <row r="475" spans="4:14" ht="16" thickBot="1">
      <c r="D475" s="25" t="s">
        <v>862</v>
      </c>
      <c r="E475" s="99"/>
      <c r="F475" s="45" t="s">
        <v>414</v>
      </c>
      <c r="G475" s="56"/>
      <c r="H475" s="56"/>
      <c r="I475" s="56"/>
      <c r="J475" s="5"/>
      <c r="K475" s="5"/>
      <c r="L475" s="5"/>
      <c r="M475" s="5"/>
      <c r="N475" s="5"/>
    </row>
    <row r="476" spans="4:14" ht="16" thickBot="1">
      <c r="D476" s="8"/>
      <c r="E476" s="5"/>
      <c r="F476" s="11"/>
      <c r="G476" s="9"/>
      <c r="H476" s="8"/>
      <c r="I476" s="8"/>
      <c r="J476" s="9"/>
      <c r="K476" s="9"/>
      <c r="L476" s="9"/>
      <c r="N476" s="8"/>
    </row>
    <row r="477" spans="4:14" ht="16" thickBot="1">
      <c r="D477" s="311" t="s">
        <v>863</v>
      </c>
      <c r="E477" s="312"/>
    </row>
    <row r="478" spans="4:14">
      <c r="D478" s="223" t="s">
        <v>867</v>
      </c>
      <c r="E478" s="195"/>
    </row>
    <row r="479" spans="4:14">
      <c r="D479" s="93" t="s">
        <v>868</v>
      </c>
      <c r="E479" s="41"/>
    </row>
    <row r="480" spans="4:14">
      <c r="D480" s="93" t="s">
        <v>869</v>
      </c>
      <c r="E480" s="41"/>
    </row>
    <row r="481" spans="4:5">
      <c r="D481" s="93" t="s">
        <v>870</v>
      </c>
      <c r="E481" s="41"/>
    </row>
    <row r="482" spans="4:5">
      <c r="D482" s="93" t="s">
        <v>871</v>
      </c>
      <c r="E482" s="41"/>
    </row>
    <row r="483" spans="4:5">
      <c r="D483" s="93" t="s">
        <v>872</v>
      </c>
      <c r="E483" s="41" t="s">
        <v>650</v>
      </c>
    </row>
    <row r="484" spans="4:5">
      <c r="D484" s="93" t="s">
        <v>864</v>
      </c>
      <c r="E484" s="41"/>
    </row>
    <row r="485" spans="4:5">
      <c r="D485" s="93" t="s">
        <v>865</v>
      </c>
      <c r="E485" s="41"/>
    </row>
    <row r="486" spans="4:5">
      <c r="D486" s="93" t="s">
        <v>866</v>
      </c>
      <c r="E486" s="41"/>
    </row>
    <row r="487" spans="4:5">
      <c r="D487" s="93" t="s">
        <v>873</v>
      </c>
      <c r="E487" s="41" t="s">
        <v>650</v>
      </c>
    </row>
    <row r="488" spans="4:5" ht="16" thickBot="1">
      <c r="D488" s="158" t="s">
        <v>874</v>
      </c>
      <c r="E488" s="99" t="s">
        <v>650</v>
      </c>
    </row>
    <row r="489" spans="4:5" ht="16" thickBot="1"/>
    <row r="490" spans="4:5" ht="16" thickBot="1">
      <c r="D490" s="311" t="s">
        <v>875</v>
      </c>
      <c r="E490" s="312"/>
    </row>
    <row r="491" spans="4:5" ht="16" thickBot="1">
      <c r="D491" s="311" t="s">
        <v>876</v>
      </c>
      <c r="E491" s="312"/>
    </row>
    <row r="492" spans="4:5">
      <c r="D492" s="388" t="s">
        <v>877</v>
      </c>
      <c r="E492" s="389"/>
    </row>
    <row r="493" spans="4:5">
      <c r="D493" s="93" t="s">
        <v>880</v>
      </c>
      <c r="E493" s="41"/>
    </row>
    <row r="494" spans="4:5">
      <c r="D494" s="93" t="s">
        <v>881</v>
      </c>
      <c r="E494" s="41"/>
    </row>
    <row r="495" spans="4:5" ht="16" thickBot="1">
      <c r="D495" s="158" t="s">
        <v>882</v>
      </c>
      <c r="E495" s="41"/>
    </row>
    <row r="496" spans="4:5">
      <c r="D496" s="388" t="s">
        <v>878</v>
      </c>
      <c r="E496" s="389"/>
    </row>
    <row r="497" spans="4:11">
      <c r="D497" s="93" t="s">
        <v>883</v>
      </c>
      <c r="E497" s="41"/>
    </row>
    <row r="498" spans="4:11">
      <c r="D498" s="93" t="s">
        <v>884</v>
      </c>
      <c r="E498" s="41"/>
    </row>
    <row r="499" spans="4:11">
      <c r="D499" s="93" t="s">
        <v>885</v>
      </c>
      <c r="E499" s="41"/>
    </row>
    <row r="500" spans="4:11" ht="16" thickBot="1">
      <c r="D500" s="158" t="s">
        <v>886</v>
      </c>
      <c r="E500" s="41"/>
    </row>
    <row r="501" spans="4:11">
      <c r="D501" s="388" t="s">
        <v>879</v>
      </c>
      <c r="E501" s="389"/>
    </row>
    <row r="502" spans="4:11">
      <c r="D502" s="93" t="s">
        <v>887</v>
      </c>
      <c r="E502" s="41"/>
    </row>
    <row r="503" spans="4:11">
      <c r="D503" s="93" t="s">
        <v>888</v>
      </c>
      <c r="E503" s="41"/>
    </row>
    <row r="504" spans="4:11" ht="16" thickBot="1">
      <c r="D504" s="158" t="s">
        <v>889</v>
      </c>
      <c r="E504" s="99"/>
    </row>
    <row r="505" spans="4:11" ht="16" thickBot="1"/>
    <row r="506" spans="4:11" ht="16" thickBot="1">
      <c r="D506" s="390" t="s">
        <v>890</v>
      </c>
      <c r="E506" s="391"/>
    </row>
    <row r="507" spans="4:11">
      <c r="D507" s="223" t="s">
        <v>891</v>
      </c>
      <c r="E507" s="195"/>
    </row>
    <row r="508" spans="4:11">
      <c r="D508" s="93" t="s">
        <v>892</v>
      </c>
      <c r="E508" s="41"/>
    </row>
    <row r="509" spans="4:11" ht="16" thickBot="1">
      <c r="D509" s="158" t="s">
        <v>893</v>
      </c>
      <c r="E509" s="99"/>
    </row>
    <row r="510" spans="4:11" ht="16" thickBot="1"/>
    <row r="511" spans="4:11" ht="16" thickBot="1">
      <c r="D511" s="392" t="s">
        <v>894</v>
      </c>
      <c r="E511" s="393"/>
    </row>
    <row r="512" spans="4:11">
      <c r="D512" s="223" t="s">
        <v>895</v>
      </c>
      <c r="E512" s="225" t="s">
        <v>896</v>
      </c>
      <c r="F512" s="225" t="s">
        <v>897</v>
      </c>
      <c r="G512" s="225" t="s">
        <v>898</v>
      </c>
      <c r="H512" s="225" t="s">
        <v>899</v>
      </c>
      <c r="I512" s="225" t="s">
        <v>900</v>
      </c>
      <c r="J512" s="225" t="s">
        <v>901</v>
      </c>
      <c r="K512" s="224" t="s">
        <v>902</v>
      </c>
    </row>
    <row r="513" spans="4:11" ht="16" thickBot="1">
      <c r="D513" s="107"/>
      <c r="E513" s="106"/>
      <c r="F513" s="106"/>
      <c r="G513" s="106"/>
      <c r="H513" s="106"/>
      <c r="I513" s="106"/>
      <c r="J513" s="106"/>
      <c r="K513" s="99"/>
    </row>
  </sheetData>
  <mergeCells count="166">
    <mergeCell ref="D491:E491"/>
    <mergeCell ref="D492:E492"/>
    <mergeCell ref="D496:E496"/>
    <mergeCell ref="D501:E501"/>
    <mergeCell ref="D506:E506"/>
    <mergeCell ref="D511:E511"/>
    <mergeCell ref="D458:E458"/>
    <mergeCell ref="D459:E459"/>
    <mergeCell ref="E469:F469"/>
    <mergeCell ref="D471:E471"/>
    <mergeCell ref="D477:E477"/>
    <mergeCell ref="D490:E490"/>
    <mergeCell ref="D433:E433"/>
    <mergeCell ref="D436:E436"/>
    <mergeCell ref="D440:M440"/>
    <mergeCell ref="P442:AD442"/>
    <mergeCell ref="P443:AD443"/>
    <mergeCell ref="D449:M449"/>
    <mergeCell ref="D413:L413"/>
    <mergeCell ref="D418:E418"/>
    <mergeCell ref="D419:E419"/>
    <mergeCell ref="D428:E428"/>
    <mergeCell ref="D429:E429"/>
    <mergeCell ref="D430:E430"/>
    <mergeCell ref="D388:M388"/>
    <mergeCell ref="D393:M393"/>
    <mergeCell ref="D396:M396"/>
    <mergeCell ref="D399:E399"/>
    <mergeCell ref="D405:E405"/>
    <mergeCell ref="D406:E406"/>
    <mergeCell ref="O367:AC369"/>
    <mergeCell ref="O370:AC372"/>
    <mergeCell ref="O373:AC375"/>
    <mergeCell ref="D380:M380"/>
    <mergeCell ref="D381:M381"/>
    <mergeCell ref="D383:M383"/>
    <mergeCell ref="P343:AD343"/>
    <mergeCell ref="D348:L348"/>
    <mergeCell ref="D350:L350"/>
    <mergeCell ref="O351:AC351"/>
    <mergeCell ref="D354:L354"/>
    <mergeCell ref="O364:AC366"/>
    <mergeCell ref="P333:AD333"/>
    <mergeCell ref="P334:AD334"/>
    <mergeCell ref="P335:AD335"/>
    <mergeCell ref="P336:AD336"/>
    <mergeCell ref="P337:AD337"/>
    <mergeCell ref="P338:AD338"/>
    <mergeCell ref="P327:AD327"/>
    <mergeCell ref="P328:AD328"/>
    <mergeCell ref="P329:AD329"/>
    <mergeCell ref="P330:AD330"/>
    <mergeCell ref="P331:AD331"/>
    <mergeCell ref="P332:AD332"/>
    <mergeCell ref="P307:AD307"/>
    <mergeCell ref="P308:AD308"/>
    <mergeCell ref="P310:AD310"/>
    <mergeCell ref="D313:M313"/>
    <mergeCell ref="D323:M323"/>
    <mergeCell ref="D326:L326"/>
    <mergeCell ref="P299:AD299"/>
    <mergeCell ref="P300:AD300"/>
    <mergeCell ref="P301:AD301"/>
    <mergeCell ref="P302:AD302"/>
    <mergeCell ref="P303:AD303"/>
    <mergeCell ref="P304:AD304"/>
    <mergeCell ref="D293:M293"/>
    <mergeCell ref="P294:AD294"/>
    <mergeCell ref="P295:AD295"/>
    <mergeCell ref="P296:AD296"/>
    <mergeCell ref="P297:AD297"/>
    <mergeCell ref="P298:AD298"/>
    <mergeCell ref="D263:M263"/>
    <mergeCell ref="P265:AD265"/>
    <mergeCell ref="D273:M273"/>
    <mergeCell ref="D281:M281"/>
    <mergeCell ref="D289:M289"/>
    <mergeCell ref="D290:M290"/>
    <mergeCell ref="P254:AD254"/>
    <mergeCell ref="P255:AD255"/>
    <mergeCell ref="P257:AD257"/>
    <mergeCell ref="P258:AD258"/>
    <mergeCell ref="P259:AD259"/>
    <mergeCell ref="P260:AD260"/>
    <mergeCell ref="P245:AD245"/>
    <mergeCell ref="P247:AD247"/>
    <mergeCell ref="P248:AD248"/>
    <mergeCell ref="P251:AD251"/>
    <mergeCell ref="P252:AD252"/>
    <mergeCell ref="P253:AD253"/>
    <mergeCell ref="P239:AD239"/>
    <mergeCell ref="P240:AD240"/>
    <mergeCell ref="P241:AD241"/>
    <mergeCell ref="P242:AD242"/>
    <mergeCell ref="P243:AD243"/>
    <mergeCell ref="P244:AD244"/>
    <mergeCell ref="D231:M231"/>
    <mergeCell ref="D234:M234"/>
    <mergeCell ref="P235:AD235"/>
    <mergeCell ref="P236:AD236"/>
    <mergeCell ref="P237:AD237"/>
    <mergeCell ref="P238:AD238"/>
    <mergeCell ref="D222:E222"/>
    <mergeCell ref="G222:P222"/>
    <mergeCell ref="D223:E223"/>
    <mergeCell ref="D226:E226"/>
    <mergeCell ref="F226:F228"/>
    <mergeCell ref="D230:M230"/>
    <mergeCell ref="D209:D210"/>
    <mergeCell ref="E209:E210"/>
    <mergeCell ref="F209:I209"/>
    <mergeCell ref="K209:K215"/>
    <mergeCell ref="D217:F217"/>
    <mergeCell ref="G218:G219"/>
    <mergeCell ref="H197:Q197"/>
    <mergeCell ref="D199:E199"/>
    <mergeCell ref="D200:E200"/>
    <mergeCell ref="D206:E206"/>
    <mergeCell ref="G207:P207"/>
    <mergeCell ref="D208:J208"/>
    <mergeCell ref="G186:Q186"/>
    <mergeCell ref="G187:Q187"/>
    <mergeCell ref="G188:Q188"/>
    <mergeCell ref="G189:Q189"/>
    <mergeCell ref="G190:G195"/>
    <mergeCell ref="H191:Q191"/>
    <mergeCell ref="H192:Q192"/>
    <mergeCell ref="H193:Q193"/>
    <mergeCell ref="H194:Q194"/>
    <mergeCell ref="D172:G172"/>
    <mergeCell ref="D176:H176"/>
    <mergeCell ref="J177:N179"/>
    <mergeCell ref="D182:E182"/>
    <mergeCell ref="D183:E183"/>
    <mergeCell ref="D184:E184"/>
    <mergeCell ref="D154:E154"/>
    <mergeCell ref="D155:E155"/>
    <mergeCell ref="D160:F160"/>
    <mergeCell ref="D166:E166"/>
    <mergeCell ref="D168:E168"/>
    <mergeCell ref="D169:E169"/>
    <mergeCell ref="D119:E119"/>
    <mergeCell ref="E120:E122"/>
    <mergeCell ref="D123:E123"/>
    <mergeCell ref="D126:E126"/>
    <mergeCell ref="D147:F147"/>
    <mergeCell ref="H147:M151"/>
    <mergeCell ref="G148:G151"/>
    <mergeCell ref="G106:G109"/>
    <mergeCell ref="D109:E109"/>
    <mergeCell ref="D112:E112"/>
    <mergeCell ref="D113:E113"/>
    <mergeCell ref="D114:F114"/>
    <mergeCell ref="E115:E118"/>
    <mergeCell ref="D71:E71"/>
    <mergeCell ref="D72:E72"/>
    <mergeCell ref="I76:R76"/>
    <mergeCell ref="D98:E98"/>
    <mergeCell ref="H98:K102"/>
    <mergeCell ref="D105:F105"/>
    <mergeCell ref="D2:E2"/>
    <mergeCell ref="D3:E3"/>
    <mergeCell ref="D9:E9"/>
    <mergeCell ref="D30:E30"/>
    <mergeCell ref="D31:E31"/>
    <mergeCell ref="D39:E39"/>
  </mergeCells>
  <dataValidations count="4">
    <dataValidation type="list" allowBlank="1" showInputMessage="1" showErrorMessage="1" sqref="D178:D179" xr:uid="{62232720-6D76-4426-ACB9-5FCAD7565047}">
      <formula1>$A$178:$A$179</formula1>
    </dataValidation>
    <dataValidation type="list" allowBlank="1" showInputMessage="1" showErrorMessage="1" sqref="E186:E189 E207 E224 E483 E373:L373 E376:L376 E358:L358 E361:L361 E364:L364 E367:L367 E370:L370 E487:E488 E351:L355" xr:uid="{1E9748BA-5C4E-4D99-8587-8B93F635725F}">
      <formula1>$A$186:$A$188</formula1>
    </dataValidation>
    <dataValidation type="list" allowBlank="1" showInputMessage="1" showErrorMessage="1" sqref="E162:F164 E191:F195 E197:F197" xr:uid="{67C2F835-C0BE-4D85-B24D-34EB24E0E16A}">
      <formula1>$A$162:$A$163</formula1>
    </dataValidation>
    <dataValidation type="list" allowBlank="1" showInputMessage="1" showErrorMessage="1" sqref="D228:E228" xr:uid="{58F37447-8A88-4900-B61B-DD8C7DB304ED}">
      <formula1>$A$228:$A$229</formula1>
    </dataValidation>
  </dataValidations>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9E307-6239-4C97-9E9E-AB8B0167C5DD}">
  <dimension ref="A1:AD513"/>
  <sheetViews>
    <sheetView topLeftCell="C1" zoomScale="50" zoomScaleNormal="50" workbookViewId="0">
      <selection activeCell="E266" sqref="E266"/>
    </sheetView>
  </sheetViews>
  <sheetFormatPr baseColWidth="10" defaultColWidth="8.25" defaultRowHeight="15.5"/>
  <cols>
    <col min="1" max="3" width="14.33203125" style="14" customWidth="1"/>
    <col min="4" max="4" width="119.58203125" style="14" customWidth="1"/>
    <col min="5" max="5" width="61.75" style="14" customWidth="1"/>
    <col min="6" max="6" width="45.4140625" style="14" customWidth="1"/>
    <col min="7" max="8" width="45.9140625" style="14" customWidth="1"/>
    <col min="9" max="9" width="61.4140625" style="14" customWidth="1"/>
    <col min="10" max="10" width="62.4140625" style="14" customWidth="1"/>
    <col min="11" max="12" width="45.9140625" style="14" customWidth="1"/>
    <col min="13" max="13" width="25" style="14" customWidth="1"/>
    <col min="14" max="14" width="22.5" style="14" customWidth="1"/>
    <col min="15" max="15" width="22.58203125" style="56" customWidth="1"/>
    <col min="16" max="16384" width="8.25" style="56"/>
  </cols>
  <sheetData>
    <row r="1" spans="1:14" ht="16" thickBot="1"/>
    <row r="2" spans="1:14" ht="25.5" thickBot="1">
      <c r="D2" s="263" t="s">
        <v>458</v>
      </c>
      <c r="E2" s="265"/>
      <c r="F2" s="7"/>
      <c r="G2" s="7"/>
      <c r="H2" s="7"/>
      <c r="I2" s="7"/>
      <c r="J2" s="7"/>
      <c r="K2" s="13"/>
      <c r="L2" s="7"/>
      <c r="M2" s="7"/>
    </row>
    <row r="3" spans="1:14" ht="31" customHeight="1">
      <c r="A3" s="7"/>
      <c r="B3" s="7"/>
      <c r="C3" s="7"/>
      <c r="D3" s="308" t="s">
        <v>459</v>
      </c>
      <c r="E3" s="308"/>
      <c r="F3" s="7"/>
      <c r="G3" s="7"/>
      <c r="H3" s="7"/>
      <c r="I3" s="7"/>
      <c r="J3" s="7"/>
      <c r="K3" s="7"/>
      <c r="L3" s="7"/>
      <c r="M3" s="7"/>
      <c r="N3" s="7"/>
    </row>
    <row r="4" spans="1:14">
      <c r="A4" s="7"/>
      <c r="B4" s="7"/>
      <c r="C4" s="7"/>
      <c r="D4" s="7"/>
      <c r="E4" s="7"/>
      <c r="F4" s="7"/>
      <c r="G4" s="7"/>
      <c r="H4" s="7"/>
      <c r="I4" s="7"/>
      <c r="J4" s="7"/>
      <c r="K4" s="7"/>
      <c r="L4" s="7"/>
      <c r="M4" s="7"/>
      <c r="N4" s="7"/>
    </row>
    <row r="5" spans="1:14">
      <c r="A5" s="7"/>
      <c r="B5" s="7"/>
      <c r="C5" s="7"/>
      <c r="D5" s="7" t="s">
        <v>461</v>
      </c>
      <c r="E5" s="57" t="s">
        <v>460</v>
      </c>
      <c r="F5" s="7"/>
      <c r="G5" s="7"/>
      <c r="H5" s="7"/>
      <c r="I5" s="7"/>
      <c r="J5" s="7"/>
      <c r="K5" s="7"/>
      <c r="L5" s="7"/>
      <c r="M5" s="7"/>
      <c r="N5" s="7"/>
    </row>
    <row r="6" spans="1:14">
      <c r="A6" s="7"/>
      <c r="B6" s="7"/>
      <c r="C6" s="7"/>
      <c r="D6" s="7" t="s">
        <v>482</v>
      </c>
      <c r="E6" s="58" t="s">
        <v>483</v>
      </c>
      <c r="F6" s="7"/>
      <c r="G6" s="7"/>
      <c r="H6" s="7"/>
      <c r="I6" s="7"/>
      <c r="J6" s="7"/>
      <c r="K6" s="7"/>
      <c r="L6" s="7"/>
      <c r="M6" s="7"/>
      <c r="N6" s="7"/>
    </row>
    <row r="7" spans="1:14">
      <c r="A7" s="7"/>
      <c r="B7" s="7"/>
      <c r="C7" s="7"/>
      <c r="D7" s="7" t="s">
        <v>536</v>
      </c>
      <c r="E7" s="59" t="s">
        <v>537</v>
      </c>
      <c r="F7" s="7"/>
      <c r="G7" s="7"/>
      <c r="H7" s="7"/>
      <c r="I7" s="7"/>
      <c r="J7" s="7"/>
      <c r="K7" s="7"/>
      <c r="L7" s="7"/>
      <c r="M7" s="7"/>
      <c r="N7" s="7"/>
    </row>
    <row r="8" spans="1:14" ht="16" thickBot="1">
      <c r="A8" s="7"/>
      <c r="B8" s="7"/>
      <c r="C8" s="7"/>
      <c r="D8" s="7"/>
      <c r="E8" s="7"/>
      <c r="F8" s="7"/>
      <c r="G8" s="7"/>
      <c r="H8" s="7"/>
      <c r="I8" s="7"/>
      <c r="J8" s="7"/>
      <c r="K8" s="7"/>
      <c r="L8" s="7"/>
      <c r="M8" s="7"/>
      <c r="N8" s="7"/>
    </row>
    <row r="9" spans="1:14" ht="25">
      <c r="D9" s="306" t="s">
        <v>0</v>
      </c>
      <c r="E9" s="307"/>
      <c r="F9" s="7"/>
      <c r="G9" s="7"/>
      <c r="H9" s="7"/>
      <c r="I9" s="7"/>
      <c r="J9" s="7"/>
      <c r="K9" s="7"/>
      <c r="L9" s="7"/>
      <c r="M9" s="7"/>
      <c r="N9" s="7"/>
    </row>
    <row r="10" spans="1:14" ht="17.25" customHeight="1">
      <c r="D10" s="20" t="s">
        <v>463</v>
      </c>
      <c r="E10" s="21" t="s">
        <v>1107</v>
      </c>
      <c r="F10" s="7"/>
      <c r="I10" s="7"/>
      <c r="J10" s="7"/>
      <c r="M10" s="7"/>
      <c r="N10" s="7"/>
    </row>
    <row r="11" spans="1:14" ht="17.25" customHeight="1">
      <c r="D11" s="20" t="s">
        <v>651</v>
      </c>
      <c r="E11" s="21" t="s">
        <v>3</v>
      </c>
      <c r="F11" s="7"/>
      <c r="G11" s="7"/>
      <c r="H11" s="7"/>
      <c r="I11" s="7"/>
      <c r="J11" s="7"/>
      <c r="K11" s="7"/>
      <c r="L11" s="7"/>
      <c r="M11" s="7"/>
      <c r="N11" s="7"/>
    </row>
    <row r="12" spans="1:14" ht="17.25" customHeight="1">
      <c r="D12" s="20" t="s">
        <v>652</v>
      </c>
      <c r="E12" s="21" t="s">
        <v>3</v>
      </c>
      <c r="F12" s="7"/>
      <c r="G12" s="7"/>
      <c r="H12" s="7"/>
      <c r="I12" s="7"/>
      <c r="J12" s="7"/>
      <c r="K12" s="7"/>
      <c r="L12" s="7"/>
      <c r="M12" s="7"/>
      <c r="N12" s="7"/>
    </row>
    <row r="13" spans="1:14" ht="17.25" customHeight="1">
      <c r="D13" s="20" t="s">
        <v>464</v>
      </c>
      <c r="E13" s="21" t="s">
        <v>1107</v>
      </c>
      <c r="F13" s="7"/>
      <c r="G13" s="7"/>
      <c r="H13" s="7"/>
      <c r="I13" s="7"/>
      <c r="J13" s="7"/>
      <c r="K13" s="7"/>
      <c r="L13" s="7"/>
      <c r="M13" s="7"/>
      <c r="N13" s="7"/>
    </row>
    <row r="14" spans="1:14" ht="17.25" customHeight="1">
      <c r="D14" s="20" t="s">
        <v>465</v>
      </c>
      <c r="E14" s="60">
        <f>+E36</f>
        <v>3.8699763449666996E-2</v>
      </c>
      <c r="F14" s="7"/>
      <c r="G14" s="61"/>
      <c r="H14" s="7"/>
      <c r="I14" s="7"/>
      <c r="J14" s="7"/>
      <c r="K14" s="7"/>
      <c r="L14" s="7"/>
      <c r="M14" s="7"/>
      <c r="N14" s="7"/>
    </row>
    <row r="15" spans="1:14" ht="17.25" customHeight="1">
      <c r="D15" s="20" t="s">
        <v>466</v>
      </c>
      <c r="E15" s="62">
        <f>+E35</f>
        <v>3456765</v>
      </c>
      <c r="F15" s="7"/>
      <c r="G15" s="7"/>
      <c r="H15" s="7"/>
      <c r="I15" s="7"/>
      <c r="J15" s="7"/>
      <c r="K15" s="7"/>
      <c r="L15" s="7"/>
      <c r="M15" s="7"/>
      <c r="N15" s="7"/>
    </row>
    <row r="16" spans="1:14" ht="17.25" customHeight="1">
      <c r="D16" s="20" t="s">
        <v>467</v>
      </c>
      <c r="E16" s="62">
        <f>+E33</f>
        <v>89322639</v>
      </c>
      <c r="F16" s="7"/>
      <c r="G16" s="7"/>
      <c r="H16" s="7"/>
      <c r="I16" s="7"/>
      <c r="J16" s="7"/>
      <c r="K16" s="7"/>
      <c r="L16" s="7"/>
      <c r="M16" s="7"/>
      <c r="N16" s="7"/>
    </row>
    <row r="17" spans="2:14" ht="17.25" customHeight="1">
      <c r="D17" s="20" t="s">
        <v>468</v>
      </c>
      <c r="E17" s="62">
        <f>+E437</f>
        <v>341400</v>
      </c>
      <c r="F17" s="7"/>
      <c r="G17" s="61"/>
      <c r="H17" s="63"/>
      <c r="I17" s="7"/>
      <c r="J17" s="7"/>
      <c r="K17" s="7"/>
      <c r="L17" s="7"/>
      <c r="M17" s="7"/>
      <c r="N17" s="7"/>
    </row>
    <row r="18" spans="2:14" ht="17.25" customHeight="1">
      <c r="D18" s="20" t="s">
        <v>469</v>
      </c>
      <c r="E18" s="62">
        <f>+E475</f>
        <v>0</v>
      </c>
      <c r="F18" s="7"/>
      <c r="G18" s="63"/>
      <c r="H18" s="7"/>
      <c r="I18" s="7"/>
      <c r="J18" s="7"/>
      <c r="K18" s="7"/>
      <c r="L18" s="7"/>
      <c r="M18" s="7"/>
      <c r="N18" s="7"/>
    </row>
    <row r="19" spans="2:14" ht="17.25" customHeight="1">
      <c r="D19" s="20" t="s">
        <v>470</v>
      </c>
      <c r="E19" s="64">
        <f>+E425</f>
        <v>9903632.9492417164</v>
      </c>
      <c r="F19" s="7"/>
      <c r="G19" s="7"/>
      <c r="H19" s="7"/>
      <c r="I19" s="7"/>
      <c r="J19" s="7"/>
      <c r="K19" s="7"/>
      <c r="L19" s="7"/>
      <c r="M19" s="7"/>
      <c r="N19" s="7"/>
    </row>
    <row r="20" spans="2:14" ht="17.25" customHeight="1">
      <c r="D20" s="20" t="s">
        <v>471</v>
      </c>
      <c r="E20" s="65"/>
      <c r="F20" s="7"/>
      <c r="G20" s="7"/>
      <c r="H20" s="7"/>
      <c r="I20" s="7"/>
      <c r="J20" s="7"/>
      <c r="K20" s="7"/>
      <c r="L20" s="7"/>
      <c r="M20" s="7"/>
      <c r="N20" s="7"/>
    </row>
    <row r="21" spans="2:14" ht="17.25" customHeight="1">
      <c r="D21" s="20" t="s">
        <v>472</v>
      </c>
      <c r="E21" s="66">
        <f>+E73</f>
        <v>3456765</v>
      </c>
      <c r="F21" s="7"/>
      <c r="G21" s="7"/>
      <c r="H21" s="7"/>
      <c r="I21" s="7"/>
      <c r="J21" s="7"/>
      <c r="K21" s="7"/>
      <c r="L21" s="7"/>
      <c r="M21" s="7"/>
      <c r="N21" s="7"/>
    </row>
    <row r="22" spans="2:14" ht="17.25" customHeight="1">
      <c r="D22" s="20" t="s">
        <v>462</v>
      </c>
      <c r="E22" s="51">
        <f>+E78</f>
        <v>0</v>
      </c>
      <c r="F22" s="7"/>
      <c r="G22" s="7"/>
      <c r="H22" s="7"/>
      <c r="I22" s="7"/>
      <c r="J22" s="7"/>
      <c r="K22" s="7"/>
      <c r="L22" s="7"/>
      <c r="M22" s="7"/>
      <c r="N22" s="7"/>
    </row>
    <row r="23" spans="2:14" ht="17.25" customHeight="1">
      <c r="D23" s="20" t="s">
        <v>473</v>
      </c>
      <c r="E23" s="51">
        <f>+E81</f>
        <v>0</v>
      </c>
      <c r="F23" s="7"/>
      <c r="G23" s="7"/>
      <c r="H23" s="7"/>
      <c r="I23" s="7"/>
      <c r="J23" s="7"/>
      <c r="K23" s="7"/>
      <c r="L23" s="7"/>
      <c r="M23" s="7"/>
      <c r="N23" s="7"/>
    </row>
    <row r="24" spans="2:14" ht="17.25" customHeight="1">
      <c r="D24" s="20" t="s">
        <v>474</v>
      </c>
      <c r="E24" s="66">
        <f>+F123</f>
        <v>4565</v>
      </c>
      <c r="F24" s="7"/>
      <c r="G24" s="7"/>
      <c r="H24" s="7"/>
      <c r="I24" s="7"/>
      <c r="J24" s="7"/>
      <c r="K24" s="7"/>
      <c r="L24" s="7"/>
      <c r="M24" s="7"/>
      <c r="N24" s="7"/>
    </row>
    <row r="25" spans="2:14" ht="17.25" customHeight="1">
      <c r="D25" s="20" t="s">
        <v>475</v>
      </c>
      <c r="E25" s="51">
        <f>+E55</f>
        <v>0</v>
      </c>
      <c r="F25" s="7"/>
      <c r="G25" s="7"/>
      <c r="H25" s="7"/>
      <c r="I25" s="7"/>
      <c r="J25" s="7"/>
      <c r="K25" s="7"/>
      <c r="L25" s="7"/>
      <c r="M25" s="7"/>
      <c r="N25" s="7"/>
    </row>
    <row r="26" spans="2:14" ht="17.25" customHeight="1">
      <c r="B26" s="56"/>
      <c r="C26" s="56"/>
      <c r="D26" s="20" t="s">
        <v>476</v>
      </c>
      <c r="E26" s="257">
        <f>E93</f>
        <v>0</v>
      </c>
      <c r="F26" s="7"/>
      <c r="G26" s="7"/>
      <c r="H26" s="7"/>
      <c r="I26" s="7"/>
      <c r="J26" s="7"/>
      <c r="K26" s="7"/>
      <c r="L26" s="7"/>
      <c r="M26" s="7"/>
      <c r="N26" s="7"/>
    </row>
    <row r="27" spans="2:14" ht="17.25" customHeight="1" thickBot="1">
      <c r="D27" s="22" t="s">
        <v>477</v>
      </c>
      <c r="E27" s="67"/>
      <c r="F27" s="7"/>
      <c r="G27" s="7"/>
      <c r="H27" s="7"/>
      <c r="I27" s="7"/>
      <c r="J27" s="7"/>
      <c r="K27" s="7"/>
      <c r="L27" s="7"/>
      <c r="M27" s="7"/>
      <c r="N27" s="7"/>
    </row>
    <row r="28" spans="2:14">
      <c r="D28" s="7"/>
      <c r="E28" s="7"/>
      <c r="F28" s="7"/>
      <c r="G28" s="7"/>
      <c r="H28" s="7"/>
      <c r="I28" s="7"/>
      <c r="J28" s="7"/>
      <c r="K28" s="7"/>
      <c r="L28" s="7"/>
      <c r="M28" s="7"/>
      <c r="N28" s="7"/>
    </row>
    <row r="29" spans="2:14" ht="16" thickBot="1">
      <c r="D29" s="10"/>
      <c r="E29" s="7"/>
      <c r="F29" s="7"/>
      <c r="G29" s="7"/>
      <c r="H29" s="7"/>
      <c r="I29" s="7"/>
      <c r="J29" s="7"/>
      <c r="K29" s="7"/>
      <c r="L29" s="7"/>
      <c r="M29" s="7"/>
      <c r="N29" s="7"/>
    </row>
    <row r="30" spans="2:14" ht="25.5" thickBot="1">
      <c r="D30" s="306" t="s">
        <v>4</v>
      </c>
      <c r="E30" s="307" t="s">
        <v>1</v>
      </c>
      <c r="F30" s="7"/>
      <c r="G30" s="7"/>
      <c r="H30" s="7"/>
      <c r="I30" s="7"/>
      <c r="J30" s="7"/>
      <c r="K30" s="68"/>
      <c r="L30" s="7"/>
      <c r="M30" s="7"/>
      <c r="N30" s="7"/>
    </row>
    <row r="31" spans="2:14" ht="20">
      <c r="D31" s="309" t="s">
        <v>6</v>
      </c>
      <c r="E31" s="310" t="s">
        <v>1</v>
      </c>
      <c r="F31" s="69" t="s">
        <v>5</v>
      </c>
      <c r="G31" s="69"/>
      <c r="H31" s="2"/>
      <c r="I31" s="7"/>
      <c r="J31" s="7"/>
      <c r="K31" s="17"/>
    </row>
    <row r="32" spans="2:14">
      <c r="D32" s="23" t="s">
        <v>9</v>
      </c>
      <c r="E32" s="70">
        <f>+M233</f>
        <v>85865874</v>
      </c>
      <c r="F32" s="69" t="s">
        <v>7</v>
      </c>
      <c r="G32" s="69" t="s">
        <v>8</v>
      </c>
      <c r="I32" s="7"/>
      <c r="J32" s="7"/>
      <c r="K32" s="68"/>
    </row>
    <row r="33" spans="4:11">
      <c r="D33" s="24" t="s">
        <v>478</v>
      </c>
      <c r="E33" s="70">
        <f>+E68</f>
        <v>89322639</v>
      </c>
      <c r="F33" s="69" t="s">
        <v>10</v>
      </c>
      <c r="G33" s="69" t="s">
        <v>11</v>
      </c>
      <c r="H33" s="71"/>
      <c r="I33" s="7"/>
      <c r="J33" s="7"/>
      <c r="K33" s="32"/>
    </row>
    <row r="34" spans="4:11">
      <c r="D34" s="24" t="s">
        <v>479</v>
      </c>
      <c r="E34" s="70">
        <f>+E42</f>
        <v>3456765</v>
      </c>
      <c r="F34" s="69" t="s">
        <v>12</v>
      </c>
      <c r="G34" s="69" t="s">
        <v>13</v>
      </c>
      <c r="I34" s="7"/>
      <c r="J34" s="7"/>
      <c r="K34" s="68"/>
    </row>
    <row r="35" spans="4:11">
      <c r="D35" s="24" t="s">
        <v>480</v>
      </c>
      <c r="E35" s="70">
        <f>+M311</f>
        <v>3456765</v>
      </c>
      <c r="F35" s="69" t="s">
        <v>14</v>
      </c>
      <c r="G35" s="69" t="s">
        <v>15</v>
      </c>
      <c r="H35" s="71"/>
      <c r="I35" s="7"/>
      <c r="J35" s="7"/>
      <c r="K35" s="7"/>
    </row>
    <row r="36" spans="4:11" ht="16" thickBot="1">
      <c r="D36" s="25" t="s">
        <v>481</v>
      </c>
      <c r="E36" s="72">
        <f>+E35/E33</f>
        <v>3.8699763449666996E-2</v>
      </c>
      <c r="F36" s="69" t="s">
        <v>16</v>
      </c>
      <c r="G36" s="69" t="s">
        <v>17</v>
      </c>
      <c r="I36" s="7"/>
      <c r="J36" s="7"/>
      <c r="K36" s="68"/>
    </row>
    <row r="37" spans="4:11">
      <c r="D37" s="56"/>
      <c r="E37" s="56"/>
      <c r="F37" s="7"/>
      <c r="G37" s="56"/>
      <c r="I37" s="7"/>
      <c r="J37" s="7"/>
      <c r="K37" s="7"/>
    </row>
    <row r="38" spans="4:11" ht="16" thickBot="1">
      <c r="D38" s="56"/>
      <c r="E38" s="56"/>
      <c r="G38" s="56"/>
      <c r="I38" s="7"/>
      <c r="J38" s="7"/>
      <c r="K38" s="7"/>
    </row>
    <row r="39" spans="4:11" ht="16" thickBot="1">
      <c r="D39" s="311" t="s">
        <v>18</v>
      </c>
      <c r="E39" s="312"/>
      <c r="F39" s="33"/>
      <c r="G39" s="56"/>
      <c r="I39" s="7"/>
      <c r="J39" s="7"/>
      <c r="K39" s="7"/>
    </row>
    <row r="40" spans="4:11">
      <c r="D40" s="26" t="s">
        <v>20</v>
      </c>
      <c r="E40" s="29">
        <f>+M233</f>
        <v>85865874</v>
      </c>
      <c r="F40" s="69" t="s">
        <v>19</v>
      </c>
      <c r="G40" s="69"/>
      <c r="K40" s="73"/>
    </row>
    <row r="41" spans="4:11">
      <c r="D41" s="27" t="s">
        <v>22</v>
      </c>
      <c r="E41" s="74" t="s">
        <v>140</v>
      </c>
      <c r="F41" s="69" t="s">
        <v>21</v>
      </c>
      <c r="G41" s="69"/>
      <c r="H41" s="56"/>
      <c r="I41" s="56"/>
      <c r="J41" s="56"/>
      <c r="K41" s="32"/>
    </row>
    <row r="42" spans="4:11">
      <c r="D42" s="27" t="s">
        <v>484</v>
      </c>
      <c r="E42" s="30">
        <f>+M235</f>
        <v>3456765</v>
      </c>
      <c r="F42" s="69" t="s">
        <v>23</v>
      </c>
      <c r="G42" s="69" t="s">
        <v>512</v>
      </c>
    </row>
    <row r="43" spans="4:11">
      <c r="D43" s="27" t="s">
        <v>485</v>
      </c>
      <c r="E43" s="30">
        <f t="shared" ref="E43:E67" si="0">+M236</f>
        <v>0</v>
      </c>
      <c r="F43" s="69" t="s">
        <v>24</v>
      </c>
      <c r="G43" s="69" t="s">
        <v>510</v>
      </c>
      <c r="H43" s="71"/>
    </row>
    <row r="44" spans="4:11">
      <c r="D44" s="27" t="s">
        <v>486</v>
      </c>
      <c r="E44" s="30">
        <f t="shared" si="0"/>
        <v>0</v>
      </c>
      <c r="F44" s="69" t="s">
        <v>25</v>
      </c>
      <c r="G44" s="69" t="s">
        <v>511</v>
      </c>
      <c r="H44" s="71"/>
    </row>
    <row r="45" spans="4:11">
      <c r="D45" s="27" t="s">
        <v>487</v>
      </c>
      <c r="E45" s="30">
        <f t="shared" si="0"/>
        <v>0</v>
      </c>
      <c r="F45" s="69" t="s">
        <v>26</v>
      </c>
      <c r="G45" s="69" t="s">
        <v>513</v>
      </c>
    </row>
    <row r="46" spans="4:11">
      <c r="D46" s="27" t="s">
        <v>488</v>
      </c>
      <c r="E46" s="30">
        <f t="shared" si="0"/>
        <v>0</v>
      </c>
      <c r="F46" s="69" t="s">
        <v>27</v>
      </c>
      <c r="G46" s="69" t="s">
        <v>514</v>
      </c>
    </row>
    <row r="47" spans="4:11">
      <c r="D47" s="27" t="s">
        <v>489</v>
      </c>
      <c r="E47" s="30">
        <f t="shared" si="0"/>
        <v>0</v>
      </c>
      <c r="F47" s="69" t="s">
        <v>28</v>
      </c>
      <c r="G47" s="69" t="s">
        <v>515</v>
      </c>
    </row>
    <row r="48" spans="4:11">
      <c r="D48" s="27" t="s">
        <v>490</v>
      </c>
      <c r="E48" s="30">
        <f t="shared" si="0"/>
        <v>0</v>
      </c>
      <c r="F48" s="69" t="s">
        <v>29</v>
      </c>
      <c r="G48" s="69" t="s">
        <v>516</v>
      </c>
      <c r="H48" s="71"/>
    </row>
    <row r="49" spans="4:8">
      <c r="D49" s="27" t="s">
        <v>491</v>
      </c>
      <c r="E49" s="30">
        <f t="shared" si="0"/>
        <v>0</v>
      </c>
      <c r="F49" s="69" t="s">
        <v>30</v>
      </c>
      <c r="G49" s="69" t="s">
        <v>517</v>
      </c>
      <c r="H49" s="71"/>
    </row>
    <row r="50" spans="4:8">
      <c r="D50" s="27" t="s">
        <v>492</v>
      </c>
      <c r="E50" s="30">
        <f t="shared" si="0"/>
        <v>0</v>
      </c>
      <c r="F50" s="69" t="s">
        <v>31</v>
      </c>
      <c r="G50" s="69" t="s">
        <v>518</v>
      </c>
    </row>
    <row r="51" spans="4:8">
      <c r="D51" s="27" t="s">
        <v>493</v>
      </c>
      <c r="E51" s="30">
        <f t="shared" si="0"/>
        <v>0</v>
      </c>
      <c r="F51" s="69" t="s">
        <v>32</v>
      </c>
      <c r="G51" s="69" t="s">
        <v>519</v>
      </c>
    </row>
    <row r="52" spans="4:8">
      <c r="D52" s="27" t="s">
        <v>494</v>
      </c>
      <c r="E52" s="30">
        <f t="shared" si="0"/>
        <v>0</v>
      </c>
      <c r="F52" s="69" t="s">
        <v>33</v>
      </c>
      <c r="G52" s="69" t="s">
        <v>520</v>
      </c>
    </row>
    <row r="53" spans="4:8">
      <c r="D53" s="27" t="s">
        <v>496</v>
      </c>
      <c r="E53" s="30">
        <f t="shared" si="0"/>
        <v>0</v>
      </c>
      <c r="F53" s="69" t="s">
        <v>34</v>
      </c>
      <c r="G53" s="69" t="s">
        <v>521</v>
      </c>
      <c r="H53" s="71"/>
    </row>
    <row r="54" spans="4:8">
      <c r="D54" s="27" t="s">
        <v>495</v>
      </c>
      <c r="E54" s="30">
        <f t="shared" si="0"/>
        <v>0</v>
      </c>
      <c r="F54" s="69" t="s">
        <v>35</v>
      </c>
      <c r="G54" s="69" t="s">
        <v>522</v>
      </c>
      <c r="H54" s="71"/>
    </row>
    <row r="55" spans="4:8">
      <c r="D55" s="27" t="s">
        <v>497</v>
      </c>
      <c r="E55" s="30">
        <f t="shared" si="0"/>
        <v>0</v>
      </c>
      <c r="F55" s="69" t="s">
        <v>36</v>
      </c>
      <c r="G55" s="69" t="s">
        <v>523</v>
      </c>
    </row>
    <row r="56" spans="4:8">
      <c r="D56" s="27" t="s">
        <v>498</v>
      </c>
      <c r="E56" s="30">
        <f t="shared" si="0"/>
        <v>0</v>
      </c>
      <c r="F56" s="69" t="s">
        <v>37</v>
      </c>
      <c r="G56" s="69" t="s">
        <v>524</v>
      </c>
    </row>
    <row r="57" spans="4:8">
      <c r="D57" s="27" t="s">
        <v>499</v>
      </c>
      <c r="E57" s="30">
        <f t="shared" si="0"/>
        <v>0</v>
      </c>
      <c r="F57" s="69" t="s">
        <v>38</v>
      </c>
      <c r="G57" s="69" t="s">
        <v>525</v>
      </c>
    </row>
    <row r="58" spans="4:8">
      <c r="D58" s="27" t="s">
        <v>500</v>
      </c>
      <c r="E58" s="30">
        <f t="shared" si="0"/>
        <v>0</v>
      </c>
      <c r="F58" s="69" t="s">
        <v>39</v>
      </c>
      <c r="G58" s="69" t="s">
        <v>526</v>
      </c>
    </row>
    <row r="59" spans="4:8">
      <c r="D59" s="27" t="s">
        <v>501</v>
      </c>
      <c r="E59" s="30">
        <f t="shared" si="0"/>
        <v>0</v>
      </c>
      <c r="F59" s="69" t="s">
        <v>40</v>
      </c>
      <c r="G59" s="69" t="s">
        <v>527</v>
      </c>
    </row>
    <row r="60" spans="4:8">
      <c r="D60" s="27" t="s">
        <v>502</v>
      </c>
      <c r="E60" s="30">
        <f t="shared" si="0"/>
        <v>0</v>
      </c>
      <c r="F60" s="69" t="s">
        <v>41</v>
      </c>
      <c r="G60" s="69" t="s">
        <v>528</v>
      </c>
    </row>
    <row r="61" spans="4:8" ht="31">
      <c r="D61" s="27" t="s">
        <v>503</v>
      </c>
      <c r="E61" s="30">
        <f t="shared" si="0"/>
        <v>0</v>
      </c>
      <c r="F61" s="69" t="s">
        <v>42</v>
      </c>
      <c r="G61" s="69" t="s">
        <v>529</v>
      </c>
    </row>
    <row r="62" spans="4:8">
      <c r="D62" s="27" t="s">
        <v>504</v>
      </c>
      <c r="E62" s="30">
        <f t="shared" si="0"/>
        <v>0</v>
      </c>
      <c r="F62" s="69" t="s">
        <v>43</v>
      </c>
      <c r="G62" s="69" t="s">
        <v>530</v>
      </c>
    </row>
    <row r="63" spans="4:8">
      <c r="D63" s="27" t="s">
        <v>505</v>
      </c>
      <c r="E63" s="30">
        <f t="shared" si="0"/>
        <v>0</v>
      </c>
      <c r="F63" s="69" t="s">
        <v>44</v>
      </c>
      <c r="G63" s="69" t="s">
        <v>531</v>
      </c>
    </row>
    <row r="64" spans="4:8">
      <c r="D64" s="27" t="s">
        <v>506</v>
      </c>
      <c r="E64" s="30">
        <f t="shared" si="0"/>
        <v>0</v>
      </c>
      <c r="F64" s="69" t="s">
        <v>45</v>
      </c>
      <c r="G64" s="69" t="s">
        <v>532</v>
      </c>
    </row>
    <row r="65" spans="4:18">
      <c r="D65" s="27" t="s">
        <v>507</v>
      </c>
      <c r="E65" s="30">
        <f t="shared" si="0"/>
        <v>0</v>
      </c>
      <c r="F65" s="69" t="s">
        <v>46</v>
      </c>
      <c r="G65" s="69" t="s">
        <v>533</v>
      </c>
    </row>
    <row r="66" spans="4:18">
      <c r="D66" s="27" t="s">
        <v>508</v>
      </c>
      <c r="E66" s="30">
        <f t="shared" si="0"/>
        <v>0</v>
      </c>
      <c r="F66" s="69" t="s">
        <v>47</v>
      </c>
      <c r="G66" s="69" t="s">
        <v>534</v>
      </c>
    </row>
    <row r="67" spans="4:18">
      <c r="D67" s="27" t="s">
        <v>509</v>
      </c>
      <c r="E67" s="30">
        <f t="shared" si="0"/>
        <v>0</v>
      </c>
      <c r="F67" s="69" t="s">
        <v>48</v>
      </c>
      <c r="G67" s="69" t="s">
        <v>535</v>
      </c>
      <c r="H67" s="71"/>
    </row>
    <row r="68" spans="4:18" ht="16" thickBot="1">
      <c r="D68" s="31" t="s">
        <v>50</v>
      </c>
      <c r="E68" s="75">
        <f>+M261</f>
        <v>89322639</v>
      </c>
      <c r="F68" s="69" t="s">
        <v>10</v>
      </c>
      <c r="G68" s="69" t="s">
        <v>49</v>
      </c>
    </row>
    <row r="69" spans="4:18" ht="15.75" customHeight="1">
      <c r="G69" s="56"/>
    </row>
    <row r="70" spans="4:18" ht="15" customHeight="1" thickBot="1">
      <c r="G70" s="56"/>
    </row>
    <row r="71" spans="4:18" ht="14.25" customHeight="1" thickBot="1">
      <c r="D71" s="311" t="s">
        <v>51</v>
      </c>
      <c r="E71" s="312"/>
      <c r="G71" s="56"/>
    </row>
    <row r="72" spans="4:18">
      <c r="D72" s="311" t="s">
        <v>52</v>
      </c>
      <c r="E72" s="312"/>
      <c r="F72" s="69"/>
      <c r="G72" s="69"/>
      <c r="H72" s="69"/>
    </row>
    <row r="73" spans="4:18">
      <c r="D73" s="37" t="s">
        <v>55</v>
      </c>
      <c r="E73" s="38">
        <f>+M292</f>
        <v>3456765</v>
      </c>
      <c r="F73" s="69" t="s">
        <v>53</v>
      </c>
      <c r="G73" s="69" t="s">
        <v>54</v>
      </c>
      <c r="H73" s="69"/>
      <c r="I73" s="7"/>
      <c r="K73" s="32"/>
    </row>
    <row r="74" spans="4:18">
      <c r="D74" s="37" t="s">
        <v>22</v>
      </c>
      <c r="E74" s="76" t="s">
        <v>140</v>
      </c>
      <c r="F74" s="69" t="s">
        <v>21</v>
      </c>
      <c r="G74" s="69"/>
      <c r="H74" s="69"/>
      <c r="I74" s="7"/>
      <c r="K74" s="32"/>
    </row>
    <row r="75" spans="4:18">
      <c r="D75" s="20" t="s">
        <v>539</v>
      </c>
      <c r="E75" s="30">
        <f>+M294</f>
        <v>0</v>
      </c>
      <c r="F75" s="69" t="s">
        <v>57</v>
      </c>
      <c r="G75" s="69" t="s">
        <v>56</v>
      </c>
      <c r="H75" s="69" t="s">
        <v>557</v>
      </c>
      <c r="I75" s="7"/>
    </row>
    <row r="76" spans="4:18" ht="69.5" customHeight="1">
      <c r="D76" s="20" t="s">
        <v>540</v>
      </c>
      <c r="E76" s="40">
        <v>0</v>
      </c>
      <c r="F76" s="69"/>
      <c r="G76" s="69" t="s">
        <v>58</v>
      </c>
      <c r="H76" s="69" t="s">
        <v>558</v>
      </c>
      <c r="I76" s="292" t="s">
        <v>59</v>
      </c>
      <c r="J76" s="292"/>
      <c r="K76" s="292"/>
      <c r="L76" s="292"/>
      <c r="M76" s="292"/>
      <c r="N76" s="292"/>
      <c r="O76" s="292"/>
      <c r="P76" s="292"/>
      <c r="Q76" s="292"/>
      <c r="R76" s="292"/>
    </row>
    <row r="77" spans="4:18">
      <c r="D77" s="20" t="s">
        <v>541</v>
      </c>
      <c r="E77" s="30">
        <f>+M295</f>
        <v>0</v>
      </c>
      <c r="F77" s="69" t="s">
        <v>61</v>
      </c>
      <c r="G77" s="69" t="s">
        <v>60</v>
      </c>
      <c r="H77" s="69" t="s">
        <v>559</v>
      </c>
    </row>
    <row r="78" spans="4:18" ht="31">
      <c r="D78" s="20" t="s">
        <v>542</v>
      </c>
      <c r="E78" s="30">
        <f t="shared" ref="E78:E91" si="1">+M296</f>
        <v>0</v>
      </c>
      <c r="F78" s="69" t="s">
        <v>63</v>
      </c>
      <c r="G78" s="69" t="s">
        <v>62</v>
      </c>
      <c r="H78" s="69" t="s">
        <v>64</v>
      </c>
      <c r="I78" s="7"/>
    </row>
    <row r="79" spans="4:18">
      <c r="D79" s="20" t="s">
        <v>572</v>
      </c>
      <c r="E79" s="30">
        <f t="shared" si="1"/>
        <v>0</v>
      </c>
      <c r="F79" s="69" t="s">
        <v>66</v>
      </c>
      <c r="G79" s="69" t="s">
        <v>65</v>
      </c>
      <c r="H79" s="69" t="s">
        <v>560</v>
      </c>
      <c r="I79" s="7"/>
    </row>
    <row r="80" spans="4:18">
      <c r="D80" s="20" t="s">
        <v>543</v>
      </c>
      <c r="E80" s="30">
        <f t="shared" si="1"/>
        <v>0</v>
      </c>
      <c r="F80" s="69" t="s">
        <v>68</v>
      </c>
      <c r="G80" s="69" t="s">
        <v>67</v>
      </c>
      <c r="H80" s="69" t="s">
        <v>561</v>
      </c>
      <c r="I80" s="7"/>
    </row>
    <row r="81" spans="4:13" ht="31">
      <c r="D81" s="20" t="s">
        <v>545</v>
      </c>
      <c r="E81" s="30">
        <f t="shared" si="1"/>
        <v>0</v>
      </c>
      <c r="F81" s="69" t="s">
        <v>70</v>
      </c>
      <c r="G81" s="69" t="s">
        <v>69</v>
      </c>
      <c r="H81" s="69" t="s">
        <v>71</v>
      </c>
      <c r="I81" s="7"/>
    </row>
    <row r="82" spans="4:13" ht="31">
      <c r="D82" s="20" t="s">
        <v>546</v>
      </c>
      <c r="E82" s="30">
        <f t="shared" si="1"/>
        <v>0</v>
      </c>
      <c r="F82" s="69" t="s">
        <v>73</v>
      </c>
      <c r="G82" s="69" t="s">
        <v>72</v>
      </c>
      <c r="H82" s="69" t="s">
        <v>74</v>
      </c>
      <c r="I82" s="7"/>
    </row>
    <row r="83" spans="4:13">
      <c r="D83" s="20" t="s">
        <v>544</v>
      </c>
      <c r="E83" s="30">
        <f t="shared" si="1"/>
        <v>0</v>
      </c>
      <c r="F83" s="69" t="s">
        <v>76</v>
      </c>
      <c r="G83" s="69" t="s">
        <v>75</v>
      </c>
      <c r="H83" s="69" t="s">
        <v>562</v>
      </c>
      <c r="I83" s="7"/>
    </row>
    <row r="84" spans="4:13">
      <c r="D84" s="20" t="s">
        <v>547</v>
      </c>
      <c r="E84" s="30">
        <f t="shared" si="1"/>
        <v>0</v>
      </c>
      <c r="F84" s="69" t="s">
        <v>78</v>
      </c>
      <c r="G84" s="69" t="s">
        <v>77</v>
      </c>
      <c r="H84" s="69" t="s">
        <v>563</v>
      </c>
      <c r="I84" s="7"/>
    </row>
    <row r="85" spans="4:13">
      <c r="D85" s="20" t="s">
        <v>548</v>
      </c>
      <c r="E85" s="30">
        <f t="shared" si="1"/>
        <v>0</v>
      </c>
      <c r="F85" s="69" t="s">
        <v>80</v>
      </c>
      <c r="G85" s="69" t="s">
        <v>79</v>
      </c>
      <c r="H85" s="69" t="s">
        <v>564</v>
      </c>
      <c r="I85" s="7"/>
    </row>
    <row r="86" spans="4:13">
      <c r="D86" s="20" t="s">
        <v>550</v>
      </c>
      <c r="E86" s="30">
        <f t="shared" si="1"/>
        <v>0</v>
      </c>
      <c r="F86" s="69" t="s">
        <v>82</v>
      </c>
      <c r="G86" s="69" t="s">
        <v>81</v>
      </c>
      <c r="H86" s="69" t="s">
        <v>565</v>
      </c>
      <c r="I86" s="7"/>
    </row>
    <row r="87" spans="4:13">
      <c r="D87" s="20" t="s">
        <v>551</v>
      </c>
      <c r="E87" s="30">
        <f t="shared" si="1"/>
        <v>0</v>
      </c>
      <c r="F87" s="69" t="s">
        <v>84</v>
      </c>
      <c r="G87" s="69" t="s">
        <v>83</v>
      </c>
      <c r="H87" s="69" t="s">
        <v>566</v>
      </c>
      <c r="I87" s="7"/>
    </row>
    <row r="88" spans="4:13">
      <c r="D88" s="20" t="s">
        <v>549</v>
      </c>
      <c r="E88" s="30">
        <f t="shared" si="1"/>
        <v>0</v>
      </c>
      <c r="F88" s="69" t="s">
        <v>86</v>
      </c>
      <c r="G88" s="69" t="s">
        <v>85</v>
      </c>
      <c r="H88" s="69" t="s">
        <v>567</v>
      </c>
      <c r="I88" s="7"/>
    </row>
    <row r="89" spans="4:13">
      <c r="D89" s="20" t="s">
        <v>573</v>
      </c>
      <c r="E89" s="30">
        <f t="shared" si="1"/>
        <v>0</v>
      </c>
      <c r="F89" s="69" t="s">
        <v>88</v>
      </c>
      <c r="G89" s="69" t="s">
        <v>87</v>
      </c>
      <c r="H89" s="69" t="s">
        <v>568</v>
      </c>
      <c r="I89" s="7"/>
    </row>
    <row r="90" spans="4:13">
      <c r="D90" s="20" t="s">
        <v>552</v>
      </c>
      <c r="E90" s="30">
        <f t="shared" si="1"/>
        <v>0</v>
      </c>
      <c r="F90" s="69" t="s">
        <v>90</v>
      </c>
      <c r="G90" s="69" t="s">
        <v>89</v>
      </c>
      <c r="H90" s="69" t="s">
        <v>569</v>
      </c>
      <c r="I90" s="7"/>
    </row>
    <row r="91" spans="4:13">
      <c r="D91" s="20" t="s">
        <v>553</v>
      </c>
      <c r="E91" s="30">
        <f t="shared" si="1"/>
        <v>0</v>
      </c>
      <c r="F91" s="69" t="s">
        <v>92</v>
      </c>
      <c r="G91" s="69" t="s">
        <v>91</v>
      </c>
      <c r="H91" s="69" t="s">
        <v>570</v>
      </c>
      <c r="I91" s="7"/>
    </row>
    <row r="92" spans="4:13" ht="31">
      <c r="D92" s="20" t="s">
        <v>554</v>
      </c>
      <c r="E92" s="30">
        <f>+M310</f>
        <v>0</v>
      </c>
      <c r="F92" s="69" t="s">
        <v>91</v>
      </c>
      <c r="G92" s="69" t="s">
        <v>93</v>
      </c>
      <c r="H92" s="69" t="s">
        <v>571</v>
      </c>
      <c r="I92" s="7"/>
    </row>
    <row r="93" spans="4:13">
      <c r="D93" s="20" t="s">
        <v>555</v>
      </c>
      <c r="E93" s="30">
        <f>+E102</f>
        <v>0</v>
      </c>
      <c r="F93" s="69" t="s">
        <v>95</v>
      </c>
      <c r="G93" s="69" t="s">
        <v>94</v>
      </c>
      <c r="H93" s="69" t="s">
        <v>96</v>
      </c>
      <c r="I93" s="7"/>
    </row>
    <row r="94" spans="4:13" ht="31">
      <c r="D94" s="20" t="s">
        <v>556</v>
      </c>
      <c r="E94" s="30">
        <f>+E101</f>
        <v>0</v>
      </c>
      <c r="F94" s="69" t="s">
        <v>98</v>
      </c>
      <c r="G94" s="69" t="s">
        <v>97</v>
      </c>
      <c r="H94" s="69" t="s">
        <v>99</v>
      </c>
      <c r="I94" s="7"/>
    </row>
    <row r="95" spans="4:13" ht="16" thickBot="1">
      <c r="D95" s="39" t="s">
        <v>100</v>
      </c>
      <c r="E95" s="77">
        <f>E73+SUM(E75:E94)</f>
        <v>3456765</v>
      </c>
      <c r="F95" s="69"/>
      <c r="G95" s="69" t="s">
        <v>14</v>
      </c>
      <c r="H95" s="69"/>
      <c r="I95" s="7"/>
      <c r="K95" s="78"/>
      <c r="L95" s="68"/>
      <c r="M95" s="32"/>
    </row>
    <row r="96" spans="4:13">
      <c r="D96" s="15"/>
      <c r="E96" s="79"/>
      <c r="F96" s="7"/>
      <c r="G96" s="56"/>
      <c r="H96" s="7"/>
      <c r="I96" s="7"/>
    </row>
    <row r="97" spans="4:11" ht="16" thickBot="1">
      <c r="D97" s="15"/>
      <c r="E97" s="79"/>
      <c r="F97" s="7"/>
      <c r="G97" s="56"/>
      <c r="H97" s="7"/>
      <c r="I97" s="7"/>
    </row>
    <row r="98" spans="4:11">
      <c r="D98" s="311" t="s">
        <v>574</v>
      </c>
      <c r="E98" s="312" t="s">
        <v>102</v>
      </c>
      <c r="F98" s="69" t="s">
        <v>101</v>
      </c>
      <c r="G98" s="69"/>
      <c r="H98" s="355" t="s">
        <v>103</v>
      </c>
      <c r="I98" s="355"/>
      <c r="J98" s="355"/>
      <c r="K98" s="355"/>
    </row>
    <row r="99" spans="4:11" ht="24.75" customHeight="1">
      <c r="D99" s="43" t="s">
        <v>575</v>
      </c>
      <c r="E99" s="41">
        <v>0</v>
      </c>
      <c r="F99" s="69" t="s">
        <v>104</v>
      </c>
      <c r="G99" s="69" t="s">
        <v>105</v>
      </c>
      <c r="H99" s="355"/>
      <c r="I99" s="355"/>
      <c r="J99" s="355"/>
      <c r="K99" s="355"/>
    </row>
    <row r="100" spans="4:11" ht="27" customHeight="1">
      <c r="D100" s="43" t="s">
        <v>576</v>
      </c>
      <c r="E100" s="41">
        <v>0</v>
      </c>
      <c r="F100" s="69" t="s">
        <v>95</v>
      </c>
      <c r="G100" s="69" t="s">
        <v>106</v>
      </c>
      <c r="H100" s="355"/>
      <c r="I100" s="355"/>
      <c r="J100" s="355"/>
      <c r="K100" s="355"/>
    </row>
    <row r="101" spans="4:11" ht="24.75" customHeight="1">
      <c r="D101" s="43" t="s">
        <v>577</v>
      </c>
      <c r="E101" s="41">
        <v>0</v>
      </c>
      <c r="F101" s="69" t="s">
        <v>98</v>
      </c>
      <c r="G101" s="69" t="s">
        <v>107</v>
      </c>
      <c r="H101" s="355"/>
      <c r="I101" s="355"/>
      <c r="J101" s="355"/>
      <c r="K101" s="355"/>
    </row>
    <row r="102" spans="4:11" ht="19.5" customHeight="1" thickBot="1">
      <c r="D102" s="44" t="s">
        <v>578</v>
      </c>
      <c r="E102" s="124">
        <f>+E99+E100+E101</f>
        <v>0</v>
      </c>
      <c r="F102" s="69" t="s">
        <v>108</v>
      </c>
      <c r="G102" s="69" t="s">
        <v>109</v>
      </c>
      <c r="H102" s="355"/>
      <c r="I102" s="355"/>
      <c r="J102" s="355"/>
      <c r="K102" s="355"/>
    </row>
    <row r="103" spans="4:11" ht="12.75" customHeight="1">
      <c r="D103" s="5"/>
      <c r="E103" s="6"/>
      <c r="F103" s="7"/>
      <c r="G103" s="7"/>
      <c r="H103" s="7"/>
      <c r="I103" s="7"/>
    </row>
    <row r="104" spans="4:11" ht="12.75" customHeight="1" thickBot="1">
      <c r="D104" s="5"/>
      <c r="E104" s="6"/>
      <c r="F104" s="5"/>
      <c r="G104" s="7"/>
      <c r="H104" s="7"/>
      <c r="I104" s="7"/>
    </row>
    <row r="105" spans="4:11">
      <c r="D105" s="320" t="s">
        <v>579</v>
      </c>
      <c r="E105" s="321"/>
      <c r="F105" s="322"/>
      <c r="G105" s="7"/>
      <c r="H105" s="7"/>
      <c r="I105" s="7"/>
    </row>
    <row r="106" spans="4:11" ht="49.5" customHeight="1">
      <c r="D106" s="24" t="s">
        <v>111</v>
      </c>
      <c r="E106" s="1" t="s">
        <v>112</v>
      </c>
      <c r="F106" s="46" t="s">
        <v>113</v>
      </c>
      <c r="G106" s="299" t="s">
        <v>110</v>
      </c>
      <c r="H106" s="7"/>
      <c r="I106" s="7"/>
    </row>
    <row r="107" spans="4:11" ht="12.75" customHeight="1">
      <c r="D107" s="121" t="s">
        <v>646</v>
      </c>
      <c r="E107" s="122" t="s">
        <v>647</v>
      </c>
      <c r="F107" s="123">
        <v>0</v>
      </c>
      <c r="G107" s="299"/>
      <c r="H107" s="7"/>
      <c r="I107" s="7"/>
    </row>
    <row r="108" spans="4:11" ht="12.75" customHeight="1">
      <c r="D108" s="121" t="s">
        <v>646</v>
      </c>
      <c r="E108" s="122" t="s">
        <v>647</v>
      </c>
      <c r="F108" s="123">
        <v>0</v>
      </c>
      <c r="G108" s="299"/>
      <c r="H108" s="7"/>
      <c r="I108" s="7"/>
    </row>
    <row r="109" spans="4:11" ht="12.75" customHeight="1" thickBot="1">
      <c r="D109" s="323" t="s">
        <v>114</v>
      </c>
      <c r="E109" s="324"/>
      <c r="F109" s="47">
        <f>+F107+F108</f>
        <v>0</v>
      </c>
      <c r="G109" s="299"/>
      <c r="H109" s="7"/>
      <c r="I109" s="7"/>
    </row>
    <row r="110" spans="4:11">
      <c r="D110" s="7"/>
      <c r="E110" s="7"/>
      <c r="F110" s="7"/>
      <c r="G110" s="7"/>
      <c r="H110" s="7"/>
      <c r="I110" s="7"/>
    </row>
    <row r="111" spans="4:11" ht="16" thickBot="1">
      <c r="D111" s="7"/>
      <c r="E111" s="7"/>
      <c r="F111" s="7"/>
      <c r="G111" s="7"/>
      <c r="H111" s="7"/>
      <c r="I111" s="7"/>
    </row>
    <row r="112" spans="4:11" ht="20.5" thickBot="1">
      <c r="D112" s="309" t="s">
        <v>115</v>
      </c>
      <c r="E112" s="310" t="s">
        <v>1</v>
      </c>
      <c r="F112" s="2"/>
      <c r="G112" s="2"/>
      <c r="H112" s="16"/>
      <c r="I112" s="7"/>
      <c r="K112" s="17"/>
    </row>
    <row r="113" spans="4:12" ht="16" thickBot="1">
      <c r="D113" s="311" t="s">
        <v>580</v>
      </c>
      <c r="E113" s="312"/>
      <c r="F113" s="33"/>
      <c r="G113" s="33"/>
      <c r="H113" s="7"/>
      <c r="I113" s="7"/>
    </row>
    <row r="114" spans="4:12" ht="16" thickBot="1">
      <c r="D114" s="296" t="s">
        <v>116</v>
      </c>
      <c r="E114" s="297"/>
      <c r="F114" s="298"/>
      <c r="G114" s="2"/>
      <c r="H114" s="7"/>
      <c r="I114" s="7"/>
    </row>
    <row r="115" spans="4:12">
      <c r="D115" s="49" t="s">
        <v>582</v>
      </c>
      <c r="E115" s="356" t="s">
        <v>581</v>
      </c>
      <c r="F115" s="54">
        <f>+M325</f>
        <v>4565</v>
      </c>
      <c r="G115" s="69" t="s">
        <v>117</v>
      </c>
      <c r="H115" s="69" t="s">
        <v>119</v>
      </c>
      <c r="I115" s="7"/>
    </row>
    <row r="116" spans="4:12" ht="31">
      <c r="D116" s="20" t="s">
        <v>583</v>
      </c>
      <c r="E116" s="357"/>
      <c r="F116" s="41">
        <v>0</v>
      </c>
      <c r="G116" s="69" t="s">
        <v>120</v>
      </c>
      <c r="H116" s="69" t="s">
        <v>121</v>
      </c>
      <c r="I116" s="7"/>
    </row>
    <row r="117" spans="4:12">
      <c r="D117" s="20" t="s">
        <v>584</v>
      </c>
      <c r="E117" s="357"/>
      <c r="F117" s="41">
        <v>0</v>
      </c>
      <c r="G117" s="69" t="s">
        <v>122</v>
      </c>
      <c r="H117" s="69" t="s">
        <v>123</v>
      </c>
      <c r="I117" s="7"/>
    </row>
    <row r="118" spans="4:12" ht="16" thickBot="1">
      <c r="D118" s="22" t="s">
        <v>585</v>
      </c>
      <c r="E118" s="358"/>
      <c r="F118" s="53">
        <f>F115-F116+F117</f>
        <v>4565</v>
      </c>
      <c r="G118" s="69" t="s">
        <v>124</v>
      </c>
      <c r="H118" s="69" t="s">
        <v>125</v>
      </c>
      <c r="I118" s="7"/>
    </row>
    <row r="119" spans="4:12" ht="16" thickBot="1">
      <c r="D119" s="313" t="s">
        <v>586</v>
      </c>
      <c r="E119" s="314"/>
      <c r="F119" s="80">
        <f>+E144</f>
        <v>0</v>
      </c>
      <c r="G119" s="69" t="s">
        <v>126</v>
      </c>
      <c r="H119" s="69" t="s">
        <v>127</v>
      </c>
      <c r="I119" s="7"/>
    </row>
    <row r="120" spans="4:12">
      <c r="D120" s="50" t="s">
        <v>587</v>
      </c>
      <c r="E120" s="317" t="s">
        <v>591</v>
      </c>
      <c r="F120" s="54">
        <f>+F119+F118</f>
        <v>4565</v>
      </c>
      <c r="G120" s="69" t="s">
        <v>128</v>
      </c>
      <c r="H120" s="69" t="s">
        <v>129</v>
      </c>
      <c r="I120" s="7"/>
    </row>
    <row r="121" spans="4:12">
      <c r="D121" s="20" t="s">
        <v>588</v>
      </c>
      <c r="E121" s="318"/>
      <c r="F121" s="52">
        <f>+M344</f>
        <v>0</v>
      </c>
      <c r="G121" s="69" t="s">
        <v>130</v>
      </c>
      <c r="H121" s="69" t="s">
        <v>131</v>
      </c>
      <c r="I121" s="7"/>
      <c r="K121" s="34"/>
    </row>
    <row r="122" spans="4:12" ht="31.5" thickBot="1">
      <c r="D122" s="22" t="s">
        <v>589</v>
      </c>
      <c r="E122" s="319"/>
      <c r="F122" s="52">
        <f>+M345</f>
        <v>0</v>
      </c>
      <c r="G122" s="69" t="s">
        <v>132</v>
      </c>
      <c r="H122" s="69" t="s">
        <v>133</v>
      </c>
      <c r="I122" s="7"/>
      <c r="K122" s="34"/>
    </row>
    <row r="123" spans="4:12" ht="16" thickBot="1">
      <c r="D123" s="315" t="s">
        <v>590</v>
      </c>
      <c r="E123" s="316"/>
      <c r="F123" s="81">
        <f>+F120+F121-F122</f>
        <v>4565</v>
      </c>
      <c r="G123" s="69" t="s">
        <v>134</v>
      </c>
      <c r="H123" s="69" t="s">
        <v>135</v>
      </c>
      <c r="I123" s="7"/>
      <c r="K123" s="82"/>
      <c r="L123" s="83"/>
    </row>
    <row r="124" spans="4:12">
      <c r="D124" s="2"/>
      <c r="E124" s="2"/>
      <c r="F124" s="2"/>
      <c r="G124" s="2"/>
      <c r="H124" s="7"/>
      <c r="I124" s="7"/>
      <c r="K124" s="84"/>
      <c r="L124" s="84"/>
    </row>
    <row r="125" spans="4:12" ht="16" thickBot="1">
      <c r="D125" s="2"/>
      <c r="E125" s="2"/>
      <c r="F125" s="2"/>
      <c r="G125" s="2"/>
      <c r="H125" s="7"/>
      <c r="I125" s="7"/>
    </row>
    <row r="126" spans="4:12">
      <c r="D126" s="311" t="s">
        <v>136</v>
      </c>
      <c r="E126" s="312"/>
      <c r="F126" s="2"/>
      <c r="G126" s="2"/>
      <c r="H126" s="56"/>
      <c r="I126" s="56"/>
    </row>
    <row r="127" spans="4:12">
      <c r="D127" s="55" t="s">
        <v>139</v>
      </c>
      <c r="E127" s="76" t="s">
        <v>140</v>
      </c>
      <c r="F127" s="69" t="s">
        <v>137</v>
      </c>
      <c r="G127" s="69" t="s">
        <v>138</v>
      </c>
      <c r="H127" s="56"/>
      <c r="I127" s="56"/>
    </row>
    <row r="128" spans="4:12">
      <c r="D128" s="55" t="s">
        <v>592</v>
      </c>
      <c r="E128" s="28">
        <f>+M327</f>
        <v>0</v>
      </c>
      <c r="F128" s="69" t="s">
        <v>141</v>
      </c>
      <c r="G128" s="69" t="s">
        <v>609</v>
      </c>
      <c r="H128" s="71"/>
    </row>
    <row r="129" spans="4:14">
      <c r="D129" s="55" t="s">
        <v>604</v>
      </c>
      <c r="E129" s="28">
        <f t="shared" ref="E129:E143" si="2">+M328</f>
        <v>0</v>
      </c>
      <c r="F129" s="69" t="s">
        <v>142</v>
      </c>
      <c r="G129" s="69" t="s">
        <v>610</v>
      </c>
      <c r="H129" s="71"/>
      <c r="I129" s="9"/>
    </row>
    <row r="130" spans="4:14">
      <c r="D130" s="55" t="s">
        <v>605</v>
      </c>
      <c r="E130" s="28">
        <f t="shared" si="2"/>
        <v>0</v>
      </c>
      <c r="F130" s="69" t="s">
        <v>143</v>
      </c>
      <c r="G130" s="69" t="s">
        <v>611</v>
      </c>
      <c r="H130" s="71"/>
      <c r="I130" s="85"/>
      <c r="J130" s="85"/>
    </row>
    <row r="131" spans="4:14">
      <c r="D131" s="55" t="s">
        <v>593</v>
      </c>
      <c r="E131" s="28">
        <f t="shared" si="2"/>
        <v>0</v>
      </c>
      <c r="F131" s="69" t="s">
        <v>144</v>
      </c>
      <c r="G131" s="69" t="s">
        <v>612</v>
      </c>
      <c r="H131" s="56"/>
      <c r="I131" s="56"/>
      <c r="J131" s="56"/>
      <c r="K131" s="56"/>
      <c r="L131" s="56"/>
      <c r="M131" s="56"/>
      <c r="N131" s="56"/>
    </row>
    <row r="132" spans="4:14">
      <c r="D132" s="55" t="s">
        <v>594</v>
      </c>
      <c r="E132" s="28">
        <f t="shared" si="2"/>
        <v>0</v>
      </c>
      <c r="F132" s="69" t="s">
        <v>145</v>
      </c>
      <c r="G132" s="69" t="s">
        <v>613</v>
      </c>
      <c r="H132" s="86"/>
      <c r="I132" s="56"/>
      <c r="J132" s="56"/>
      <c r="K132" s="56"/>
      <c r="L132" s="56"/>
      <c r="M132" s="56"/>
      <c r="N132" s="56"/>
    </row>
    <row r="133" spans="4:14">
      <c r="D133" s="55" t="s">
        <v>595</v>
      </c>
      <c r="E133" s="28">
        <f t="shared" si="2"/>
        <v>0</v>
      </c>
      <c r="F133" s="69" t="s">
        <v>146</v>
      </c>
      <c r="G133" s="69" t="s">
        <v>147</v>
      </c>
      <c r="H133" s="56"/>
      <c r="I133" s="56"/>
      <c r="J133" s="56"/>
      <c r="K133" s="56"/>
      <c r="L133" s="56"/>
      <c r="M133" s="56"/>
      <c r="N133" s="56"/>
    </row>
    <row r="134" spans="4:14">
      <c r="D134" s="55" t="s">
        <v>596</v>
      </c>
      <c r="E134" s="28">
        <f t="shared" si="2"/>
        <v>0</v>
      </c>
      <c r="F134" s="69" t="s">
        <v>148</v>
      </c>
      <c r="G134" s="69" t="s">
        <v>149</v>
      </c>
      <c r="H134" s="56"/>
      <c r="I134" s="56"/>
      <c r="J134" s="56"/>
      <c r="K134" s="56"/>
      <c r="L134" s="56"/>
      <c r="M134" s="56"/>
      <c r="N134" s="56"/>
    </row>
    <row r="135" spans="4:14">
      <c r="D135" s="55" t="s">
        <v>597</v>
      </c>
      <c r="E135" s="28">
        <f t="shared" si="2"/>
        <v>0</v>
      </c>
      <c r="F135" s="69" t="s">
        <v>150</v>
      </c>
      <c r="G135" s="69" t="s">
        <v>615</v>
      </c>
      <c r="H135" s="56"/>
      <c r="I135" s="56"/>
      <c r="J135" s="56"/>
      <c r="K135" s="56"/>
      <c r="L135" s="56"/>
      <c r="M135" s="56"/>
      <c r="N135" s="56"/>
    </row>
    <row r="136" spans="4:14">
      <c r="D136" s="55" t="s">
        <v>598</v>
      </c>
      <c r="E136" s="28">
        <f t="shared" si="2"/>
        <v>0</v>
      </c>
      <c r="F136" s="69" t="s">
        <v>151</v>
      </c>
      <c r="G136" s="69" t="s">
        <v>616</v>
      </c>
      <c r="H136" s="87"/>
      <c r="I136" s="56"/>
      <c r="J136" s="56"/>
      <c r="K136" s="56"/>
      <c r="L136" s="7"/>
      <c r="M136" s="7"/>
      <c r="N136" s="7"/>
    </row>
    <row r="137" spans="4:14">
      <c r="D137" s="55" t="s">
        <v>599</v>
      </c>
      <c r="E137" s="28">
        <f t="shared" si="2"/>
        <v>0</v>
      </c>
      <c r="F137" s="69" t="s">
        <v>152</v>
      </c>
      <c r="G137" s="69" t="s">
        <v>617</v>
      </c>
      <c r="H137" s="56"/>
      <c r="I137" s="56"/>
      <c r="J137" s="56"/>
      <c r="K137" s="56"/>
      <c r="L137" s="7"/>
      <c r="M137" s="7"/>
      <c r="N137" s="7"/>
    </row>
    <row r="138" spans="4:14">
      <c r="D138" s="55" t="s">
        <v>606</v>
      </c>
      <c r="E138" s="28">
        <f t="shared" si="2"/>
        <v>0</v>
      </c>
      <c r="F138" s="69" t="s">
        <v>153</v>
      </c>
      <c r="G138" s="69" t="s">
        <v>618</v>
      </c>
      <c r="H138" s="35"/>
      <c r="I138" s="88"/>
      <c r="J138" s="7"/>
      <c r="K138" s="7"/>
      <c r="L138" s="7"/>
      <c r="M138" s="7"/>
      <c r="N138" s="7"/>
    </row>
    <row r="139" spans="4:14">
      <c r="D139" s="55" t="s">
        <v>607</v>
      </c>
      <c r="E139" s="28">
        <f t="shared" si="2"/>
        <v>0</v>
      </c>
      <c r="F139" s="69" t="s">
        <v>154</v>
      </c>
      <c r="G139" s="69" t="s">
        <v>619</v>
      </c>
      <c r="H139" s="35"/>
      <c r="I139" s="7"/>
      <c r="J139" s="7"/>
      <c r="K139" s="7"/>
      <c r="L139" s="7"/>
      <c r="M139" s="7"/>
      <c r="N139" s="7"/>
    </row>
    <row r="140" spans="4:14">
      <c r="D140" s="55" t="s">
        <v>600</v>
      </c>
      <c r="E140" s="28">
        <f t="shared" si="2"/>
        <v>0</v>
      </c>
      <c r="F140" s="69" t="s">
        <v>155</v>
      </c>
      <c r="G140" s="69" t="s">
        <v>620</v>
      </c>
      <c r="H140" s="36"/>
      <c r="I140" s="7"/>
      <c r="J140" s="7"/>
      <c r="K140" s="7"/>
      <c r="L140" s="7"/>
      <c r="M140" s="7"/>
      <c r="N140" s="7"/>
    </row>
    <row r="141" spans="4:14">
      <c r="D141" s="55" t="s">
        <v>601</v>
      </c>
      <c r="E141" s="28">
        <f t="shared" si="2"/>
        <v>0</v>
      </c>
      <c r="F141" s="69" t="s">
        <v>156</v>
      </c>
      <c r="G141" s="69" t="s">
        <v>614</v>
      </c>
      <c r="H141" s="89"/>
      <c r="I141" s="7"/>
      <c r="J141" s="7"/>
      <c r="K141" s="7"/>
      <c r="L141" s="7"/>
      <c r="M141" s="7"/>
      <c r="N141" s="7"/>
    </row>
    <row r="142" spans="4:14">
      <c r="D142" s="55" t="s">
        <v>602</v>
      </c>
      <c r="E142" s="28">
        <f t="shared" si="2"/>
        <v>0</v>
      </c>
      <c r="F142" s="69" t="s">
        <v>157</v>
      </c>
      <c r="G142" s="69" t="s">
        <v>621</v>
      </c>
      <c r="H142" s="89"/>
      <c r="I142" s="7"/>
      <c r="J142" s="7"/>
      <c r="K142" s="7"/>
      <c r="L142" s="7"/>
      <c r="M142" s="7"/>
      <c r="N142" s="7"/>
    </row>
    <row r="143" spans="4:14">
      <c r="D143" s="55" t="s">
        <v>603</v>
      </c>
      <c r="E143" s="28">
        <f t="shared" si="2"/>
        <v>0</v>
      </c>
      <c r="F143" s="69" t="s">
        <v>159</v>
      </c>
      <c r="G143" s="69" t="s">
        <v>158</v>
      </c>
      <c r="H143" s="71"/>
      <c r="I143" s="7"/>
      <c r="J143" s="7"/>
      <c r="K143" s="7"/>
      <c r="L143" s="7"/>
      <c r="M143" s="7"/>
      <c r="N143" s="7"/>
    </row>
    <row r="144" spans="4:14" ht="16" thickBot="1">
      <c r="D144" s="39" t="s">
        <v>608</v>
      </c>
      <c r="E144" s="90">
        <f>SUM(E128:E143)</f>
        <v>0</v>
      </c>
      <c r="F144" s="69" t="s">
        <v>126</v>
      </c>
      <c r="G144" s="69" t="s">
        <v>160</v>
      </c>
      <c r="I144" s="7"/>
      <c r="J144" s="7"/>
      <c r="K144" s="91"/>
      <c r="L144" s="83"/>
      <c r="M144" s="7"/>
      <c r="N144" s="7"/>
    </row>
    <row r="145" spans="4:14">
      <c r="D145" s="4"/>
      <c r="E145" s="4"/>
      <c r="F145" s="4"/>
      <c r="G145" s="7"/>
      <c r="H145" s="7"/>
      <c r="I145" s="7"/>
      <c r="J145" s="7"/>
      <c r="K145" s="7"/>
      <c r="L145" s="7"/>
      <c r="M145" s="7"/>
      <c r="N145" s="7"/>
    </row>
    <row r="146" spans="4:14" ht="16" thickBot="1">
      <c r="D146" s="4"/>
      <c r="E146" s="4"/>
      <c r="F146" s="4"/>
      <c r="G146" s="7"/>
      <c r="H146" s="7"/>
      <c r="I146" s="7"/>
      <c r="J146" s="7"/>
      <c r="K146" s="7"/>
      <c r="L146" s="7"/>
      <c r="M146" s="7"/>
      <c r="N146" s="7"/>
    </row>
    <row r="147" spans="4:14" ht="16" thickBot="1">
      <c r="D147" s="296" t="s">
        <v>161</v>
      </c>
      <c r="E147" s="360" t="s">
        <v>102</v>
      </c>
      <c r="F147" s="312"/>
      <c r="G147" s="7"/>
      <c r="H147" s="343" t="s">
        <v>162</v>
      </c>
      <c r="I147" s="343"/>
      <c r="J147" s="343"/>
      <c r="K147" s="343"/>
      <c r="L147" s="343"/>
      <c r="M147" s="343"/>
      <c r="N147" s="7"/>
    </row>
    <row r="148" spans="4:14" ht="31">
      <c r="D148" s="93"/>
      <c r="E148" s="1" t="s">
        <v>622</v>
      </c>
      <c r="F148" s="46" t="s">
        <v>623</v>
      </c>
      <c r="G148" s="359" t="s">
        <v>163</v>
      </c>
      <c r="H148" s="343"/>
      <c r="I148" s="343"/>
      <c r="J148" s="343"/>
      <c r="K148" s="343"/>
      <c r="L148" s="343"/>
      <c r="M148" s="343"/>
      <c r="N148" s="7"/>
    </row>
    <row r="149" spans="4:14">
      <c r="D149" s="43" t="s">
        <v>164</v>
      </c>
      <c r="E149" s="42">
        <v>0</v>
      </c>
      <c r="F149" s="41">
        <v>0</v>
      </c>
      <c r="G149" s="359"/>
      <c r="H149" s="343"/>
      <c r="I149" s="343"/>
      <c r="J149" s="343"/>
      <c r="K149" s="343"/>
      <c r="L149" s="343"/>
      <c r="M149" s="343"/>
      <c r="N149" s="7"/>
    </row>
    <row r="150" spans="4:14">
      <c r="D150" s="43" t="s">
        <v>165</v>
      </c>
      <c r="E150" s="42">
        <v>0</v>
      </c>
      <c r="F150" s="41">
        <v>0</v>
      </c>
      <c r="G150" s="359"/>
      <c r="H150" s="343"/>
      <c r="I150" s="343"/>
      <c r="J150" s="343"/>
      <c r="K150" s="343"/>
      <c r="L150" s="343"/>
      <c r="M150" s="343"/>
      <c r="N150" s="7"/>
    </row>
    <row r="151" spans="4:14" ht="32" customHeight="1" thickBot="1">
      <c r="D151" s="44" t="s">
        <v>166</v>
      </c>
      <c r="E151" s="94">
        <f>+E149+E150</f>
        <v>0</v>
      </c>
      <c r="F151" s="95">
        <f>+F149+F150</f>
        <v>0</v>
      </c>
      <c r="G151" s="359"/>
      <c r="H151" s="343"/>
      <c r="I151" s="343"/>
      <c r="J151" s="343"/>
      <c r="K151" s="343"/>
      <c r="L151" s="343"/>
      <c r="M151" s="343"/>
      <c r="N151" s="7"/>
    </row>
    <row r="152" spans="4:14">
      <c r="D152" s="5"/>
      <c r="E152" s="5"/>
      <c r="F152" s="5"/>
      <c r="G152" s="7"/>
      <c r="H152" s="7"/>
      <c r="I152" s="7"/>
      <c r="J152" s="7"/>
      <c r="K152" s="56"/>
      <c r="L152" s="56"/>
      <c r="M152" s="56"/>
      <c r="N152" s="56"/>
    </row>
    <row r="153" spans="4:14" ht="16" thickBot="1">
      <c r="D153" s="5"/>
      <c r="E153" s="5"/>
      <c r="F153" s="5"/>
      <c r="G153" s="7"/>
      <c r="H153" s="7"/>
      <c r="I153" s="7"/>
      <c r="J153" s="7"/>
      <c r="K153" s="56"/>
      <c r="L153" s="56"/>
      <c r="M153" s="56"/>
      <c r="N153" s="56"/>
    </row>
    <row r="154" spans="4:14" ht="16" thickBot="1">
      <c r="D154" s="311" t="s">
        <v>167</v>
      </c>
      <c r="E154" s="312" t="s">
        <v>102</v>
      </c>
      <c r="F154" s="56"/>
      <c r="G154" s="7"/>
      <c r="H154" s="7"/>
      <c r="I154" s="7"/>
      <c r="J154" s="7"/>
      <c r="K154" s="56"/>
      <c r="L154" s="56"/>
      <c r="M154" s="56"/>
      <c r="N154" s="56"/>
    </row>
    <row r="155" spans="4:14">
      <c r="D155" s="311" t="s">
        <v>168</v>
      </c>
      <c r="E155" s="312"/>
      <c r="F155" s="56"/>
      <c r="G155" s="56"/>
      <c r="H155" s="56"/>
      <c r="I155" s="56"/>
      <c r="J155" s="56"/>
      <c r="K155" s="56"/>
      <c r="L155" s="56"/>
      <c r="M155" s="56"/>
      <c r="N155" s="56"/>
    </row>
    <row r="156" spans="4:14">
      <c r="D156" s="96" t="s">
        <v>170</v>
      </c>
      <c r="E156" s="41">
        <v>0</v>
      </c>
      <c r="F156" s="56"/>
      <c r="G156" s="69" t="s">
        <v>169</v>
      </c>
      <c r="H156" s="56"/>
      <c r="I156" s="56"/>
      <c r="J156" s="56"/>
      <c r="K156" s="56"/>
      <c r="L156" s="56"/>
      <c r="M156" s="56"/>
      <c r="N156" s="56"/>
    </row>
    <row r="157" spans="4:14" ht="31">
      <c r="D157" s="97" t="s">
        <v>172</v>
      </c>
      <c r="E157" s="41">
        <v>0</v>
      </c>
      <c r="F157" s="56"/>
      <c r="G157" s="69" t="s">
        <v>171</v>
      </c>
      <c r="H157" s="56"/>
      <c r="I157" s="56"/>
      <c r="J157" s="56"/>
      <c r="K157" s="56"/>
      <c r="L157" s="56"/>
      <c r="M157" s="56"/>
      <c r="N157" s="56"/>
    </row>
    <row r="158" spans="4:14" ht="16" thickBot="1">
      <c r="D158" s="98" t="s">
        <v>174</v>
      </c>
      <c r="E158" s="99">
        <v>0</v>
      </c>
      <c r="F158" s="69" t="s">
        <v>151</v>
      </c>
      <c r="G158" s="69" t="s">
        <v>173</v>
      </c>
      <c r="H158" s="56"/>
      <c r="I158" s="56"/>
      <c r="J158" s="56"/>
      <c r="K158" s="56"/>
      <c r="L158" s="56"/>
      <c r="M158" s="56"/>
      <c r="N158" s="56"/>
    </row>
    <row r="159" spans="4:14" ht="16" thickBot="1">
      <c r="D159" s="56"/>
      <c r="E159" s="56"/>
      <c r="F159" s="56"/>
      <c r="G159" s="56"/>
      <c r="H159" s="56"/>
      <c r="I159" s="56"/>
      <c r="J159" s="56"/>
      <c r="K159" s="56"/>
      <c r="L159" s="56"/>
      <c r="M159" s="56"/>
      <c r="N159" s="56"/>
    </row>
    <row r="160" spans="4:14" ht="16" thickBot="1">
      <c r="D160" s="296" t="s">
        <v>175</v>
      </c>
      <c r="E160" s="297"/>
      <c r="F160" s="298"/>
      <c r="G160" s="56"/>
      <c r="H160" s="56"/>
      <c r="I160" s="56"/>
      <c r="J160" s="56"/>
      <c r="K160" s="56"/>
      <c r="L160" s="56"/>
      <c r="M160" s="56"/>
      <c r="N160" s="56"/>
    </row>
    <row r="161" spans="1:14">
      <c r="A161" s="258"/>
      <c r="D161" s="103"/>
      <c r="E161" s="104" t="s">
        <v>177</v>
      </c>
      <c r="F161" s="105" t="s">
        <v>178</v>
      </c>
      <c r="G161" s="69" t="s">
        <v>176</v>
      </c>
      <c r="H161" s="56"/>
      <c r="I161" s="56"/>
      <c r="J161" s="56"/>
      <c r="K161" s="56"/>
      <c r="L161" s="56"/>
      <c r="M161" s="56"/>
      <c r="N161" s="56"/>
    </row>
    <row r="162" spans="1:14">
      <c r="A162" s="259" t="s">
        <v>661</v>
      </c>
      <c r="D162" s="100" t="s">
        <v>180</v>
      </c>
      <c r="E162" s="129" t="s">
        <v>3</v>
      </c>
      <c r="F162" s="130" t="s">
        <v>3</v>
      </c>
      <c r="G162" s="116" t="s">
        <v>179</v>
      </c>
      <c r="H162" s="56"/>
      <c r="I162" s="56"/>
      <c r="J162" s="56"/>
      <c r="K162" s="56"/>
      <c r="L162" s="56"/>
      <c r="M162" s="56"/>
      <c r="N162" s="56"/>
    </row>
    <row r="163" spans="1:14">
      <c r="A163" s="258" t="s">
        <v>3</v>
      </c>
      <c r="D163" s="101" t="s">
        <v>182</v>
      </c>
      <c r="E163" s="129" t="s">
        <v>3</v>
      </c>
      <c r="F163" s="130" t="s">
        <v>3</v>
      </c>
      <c r="G163" s="116" t="s">
        <v>181</v>
      </c>
      <c r="H163" s="56"/>
      <c r="I163" s="56"/>
      <c r="J163" s="56"/>
      <c r="K163" s="56"/>
      <c r="L163" s="56"/>
      <c r="M163" s="56"/>
      <c r="N163" s="56"/>
    </row>
    <row r="164" spans="1:14" ht="16" thickBot="1">
      <c r="A164" s="258"/>
      <c r="D164" s="102" t="s">
        <v>184</v>
      </c>
      <c r="E164" s="131" t="s">
        <v>3</v>
      </c>
      <c r="F164" s="132" t="s">
        <v>3</v>
      </c>
      <c r="G164" s="116" t="s">
        <v>183</v>
      </c>
      <c r="H164" s="56"/>
      <c r="I164" s="56"/>
      <c r="J164" s="56"/>
      <c r="K164" s="56"/>
      <c r="L164" s="56"/>
      <c r="M164" s="56"/>
      <c r="N164" s="56"/>
    </row>
    <row r="165" spans="1:14" ht="16" thickBot="1">
      <c r="A165" s="258"/>
      <c r="D165" s="6"/>
      <c r="E165" s="56"/>
      <c r="F165" s="56"/>
      <c r="G165" s="56"/>
      <c r="H165" s="56"/>
      <c r="I165" s="56"/>
      <c r="J165" s="56"/>
      <c r="K165" s="56"/>
      <c r="L165" s="56"/>
      <c r="M165" s="7"/>
      <c r="N165" s="7"/>
    </row>
    <row r="166" spans="1:14" ht="16" thickBot="1">
      <c r="B166" s="9"/>
      <c r="D166" s="311" t="s">
        <v>185</v>
      </c>
      <c r="E166" s="312"/>
      <c r="F166" s="56"/>
      <c r="G166" s="56"/>
      <c r="H166" s="56"/>
      <c r="I166" s="56"/>
      <c r="J166" s="56"/>
      <c r="K166" s="56"/>
      <c r="L166" s="56"/>
      <c r="M166" s="7"/>
      <c r="N166" s="7"/>
    </row>
    <row r="167" spans="1:14" ht="16" thickBot="1">
      <c r="B167" s="9"/>
      <c r="D167" s="108" t="s">
        <v>626</v>
      </c>
      <c r="E167" s="109">
        <v>2024</v>
      </c>
      <c r="F167" s="69" t="s">
        <v>186</v>
      </c>
      <c r="G167" s="56"/>
      <c r="H167" s="56"/>
      <c r="I167" s="56"/>
      <c r="J167" s="56"/>
      <c r="K167" s="56"/>
      <c r="L167" s="56"/>
      <c r="M167" s="7"/>
      <c r="N167" s="7"/>
    </row>
    <row r="168" spans="1:14">
      <c r="B168" s="9"/>
      <c r="D168" s="311" t="s">
        <v>624</v>
      </c>
      <c r="E168" s="312"/>
      <c r="F168" s="7"/>
      <c r="G168" s="7"/>
      <c r="H168" s="7"/>
      <c r="I168" s="7"/>
      <c r="J168" s="7"/>
      <c r="K168" s="7"/>
      <c r="L168" s="7"/>
      <c r="M168" s="7"/>
      <c r="N168" s="7"/>
    </row>
    <row r="169" spans="1:14">
      <c r="B169" s="9"/>
      <c r="D169" s="364" t="s">
        <v>187</v>
      </c>
      <c r="E169" s="365"/>
      <c r="F169" s="7"/>
      <c r="G169" s="7"/>
      <c r="H169" s="7"/>
      <c r="I169" s="7"/>
      <c r="J169" s="7"/>
      <c r="K169" s="7"/>
      <c r="L169" s="7"/>
      <c r="M169" s="7"/>
      <c r="N169" s="7"/>
    </row>
    <row r="170" spans="1:14" ht="46.5" customHeight="1">
      <c r="B170" s="9"/>
      <c r="D170" s="43" t="s">
        <v>625</v>
      </c>
      <c r="E170" s="110" t="s">
        <v>189</v>
      </c>
      <c r="F170" s="69" t="s">
        <v>188</v>
      </c>
      <c r="G170" s="7"/>
      <c r="H170" s="7"/>
      <c r="I170" s="7"/>
      <c r="J170" s="7"/>
      <c r="K170" s="7"/>
      <c r="L170" s="7"/>
      <c r="M170" s="7"/>
      <c r="N170" s="7"/>
    </row>
    <row r="171" spans="1:14" ht="16" thickBot="1">
      <c r="B171" s="9"/>
      <c r="D171" s="111">
        <v>0</v>
      </c>
      <c r="E171" s="112">
        <v>0</v>
      </c>
      <c r="F171" s="7"/>
      <c r="G171" s="7"/>
      <c r="H171" s="7"/>
      <c r="I171" s="7"/>
      <c r="J171" s="7"/>
      <c r="K171" s="7"/>
      <c r="L171" s="7"/>
      <c r="M171" s="7"/>
      <c r="N171" s="7"/>
    </row>
    <row r="172" spans="1:14" ht="14" customHeight="1" thickBot="1">
      <c r="B172" s="9"/>
      <c r="C172" s="9"/>
      <c r="D172" s="347" t="s">
        <v>191</v>
      </c>
      <c r="E172" s="348"/>
      <c r="F172" s="348"/>
      <c r="G172" s="349"/>
      <c r="H172" s="7"/>
      <c r="I172" s="7"/>
      <c r="J172" s="7"/>
      <c r="K172" s="7"/>
      <c r="L172" s="7"/>
      <c r="M172" s="7"/>
      <c r="N172" s="7"/>
    </row>
    <row r="173" spans="1:14" ht="46.5">
      <c r="B173" s="9"/>
      <c r="C173" s="9"/>
      <c r="D173" s="113" t="s">
        <v>627</v>
      </c>
      <c r="E173" s="114" t="s">
        <v>628</v>
      </c>
      <c r="F173" s="114" t="s">
        <v>629</v>
      </c>
      <c r="G173" s="115" t="s">
        <v>630</v>
      </c>
      <c r="H173" s="116" t="s">
        <v>190</v>
      </c>
      <c r="I173" s="7"/>
      <c r="J173" s="7"/>
      <c r="K173" s="7"/>
      <c r="L173" s="7"/>
      <c r="M173" s="7"/>
      <c r="N173" s="7"/>
    </row>
    <row r="174" spans="1:14" ht="16" thickBot="1">
      <c r="B174" s="9"/>
      <c r="C174" s="9"/>
      <c r="D174" s="107">
        <v>0</v>
      </c>
      <c r="E174" s="106">
        <v>0</v>
      </c>
      <c r="F174" s="106">
        <v>0</v>
      </c>
      <c r="G174" s="99">
        <v>0</v>
      </c>
      <c r="H174" s="7"/>
      <c r="I174" s="7"/>
      <c r="J174" s="7"/>
      <c r="K174" s="7"/>
      <c r="L174" s="7"/>
      <c r="M174" s="7"/>
      <c r="N174" s="7"/>
    </row>
    <row r="175" spans="1:14" ht="16" thickBot="1">
      <c r="B175" s="9"/>
      <c r="C175" s="9"/>
      <c r="D175" s="7"/>
      <c r="E175" s="7"/>
      <c r="F175" s="7"/>
      <c r="G175" s="7"/>
      <c r="H175" s="7"/>
      <c r="I175" s="7"/>
      <c r="J175" s="7"/>
      <c r="K175" s="7"/>
      <c r="L175" s="7"/>
      <c r="M175" s="7"/>
      <c r="N175" s="7"/>
    </row>
    <row r="176" spans="1:14" ht="15.5" customHeight="1">
      <c r="B176" s="9"/>
      <c r="C176" s="9"/>
      <c r="D176" s="320" t="s">
        <v>193</v>
      </c>
      <c r="E176" s="321"/>
      <c r="F176" s="321"/>
      <c r="G176" s="321"/>
      <c r="H176" s="322"/>
      <c r="I176" s="7"/>
      <c r="J176" s="7"/>
      <c r="K176" s="7"/>
      <c r="L176" s="7"/>
      <c r="M176" s="7"/>
      <c r="N176" s="7"/>
    </row>
    <row r="177" spans="1:17" ht="46.5">
      <c r="B177" s="9"/>
      <c r="C177" s="9"/>
      <c r="D177" s="117" t="s">
        <v>631</v>
      </c>
      <c r="E177" s="48" t="s">
        <v>632</v>
      </c>
      <c r="F177" s="48" t="s">
        <v>633</v>
      </c>
      <c r="G177" s="48" t="s">
        <v>634</v>
      </c>
      <c r="H177" s="118" t="s">
        <v>635</v>
      </c>
      <c r="I177" s="116" t="s">
        <v>192</v>
      </c>
      <c r="J177" s="343" t="s">
        <v>194</v>
      </c>
      <c r="K177" s="343"/>
      <c r="L177" s="343"/>
      <c r="M177" s="343"/>
      <c r="N177" s="343"/>
    </row>
    <row r="178" spans="1:17">
      <c r="A178" s="84" t="s">
        <v>645</v>
      </c>
      <c r="B178" s="9"/>
      <c r="C178" s="9"/>
      <c r="D178" s="119" t="s">
        <v>3</v>
      </c>
      <c r="E178" s="42">
        <v>0</v>
      </c>
      <c r="F178" s="42">
        <v>0</v>
      </c>
      <c r="G178" s="42">
        <v>0</v>
      </c>
      <c r="H178" s="41">
        <v>0</v>
      </c>
      <c r="I178" s="7"/>
      <c r="J178" s="343"/>
      <c r="K178" s="343"/>
      <c r="L178" s="343"/>
      <c r="M178" s="343"/>
      <c r="N178" s="343"/>
    </row>
    <row r="179" spans="1:17" ht="16" thickBot="1">
      <c r="A179" s="84" t="s">
        <v>3</v>
      </c>
      <c r="B179" s="9"/>
      <c r="C179" s="9"/>
      <c r="D179" s="107" t="s">
        <v>3</v>
      </c>
      <c r="E179" s="106">
        <v>0</v>
      </c>
      <c r="F179" s="106">
        <v>0</v>
      </c>
      <c r="G179" s="106">
        <v>0</v>
      </c>
      <c r="H179" s="99">
        <v>0</v>
      </c>
      <c r="I179" s="7"/>
      <c r="J179" s="343"/>
      <c r="K179" s="343"/>
      <c r="L179" s="343"/>
      <c r="M179" s="343"/>
      <c r="N179" s="343"/>
    </row>
    <row r="180" spans="1:17">
      <c r="C180" s="9"/>
      <c r="I180" s="7"/>
      <c r="J180" s="7"/>
      <c r="K180" s="7"/>
      <c r="L180" s="7"/>
      <c r="M180" s="7"/>
      <c r="N180" s="7"/>
    </row>
    <row r="181" spans="1:17" ht="16" thickBot="1">
      <c r="I181" s="7"/>
      <c r="J181" s="7"/>
      <c r="K181" s="7"/>
      <c r="L181" s="7"/>
      <c r="M181" s="7"/>
      <c r="N181" s="7"/>
    </row>
    <row r="182" spans="1:17" ht="20.5" thickBot="1">
      <c r="D182" s="309" t="s">
        <v>195</v>
      </c>
      <c r="E182" s="310" t="s">
        <v>1</v>
      </c>
      <c r="F182" s="10"/>
      <c r="G182" s="10"/>
      <c r="H182" s="10"/>
      <c r="I182" s="10"/>
      <c r="J182" s="10"/>
      <c r="K182" s="17"/>
      <c r="L182" s="10"/>
      <c r="M182" s="7"/>
      <c r="N182" s="7"/>
    </row>
    <row r="183" spans="1:17" ht="16" thickBot="1">
      <c r="D183" s="311" t="s">
        <v>636</v>
      </c>
      <c r="E183" s="312"/>
      <c r="F183" s="5"/>
      <c r="G183" s="5"/>
      <c r="H183" s="5"/>
      <c r="I183" s="5"/>
      <c r="J183" s="5"/>
      <c r="K183" s="5"/>
      <c r="L183" s="5"/>
      <c r="M183" s="7"/>
      <c r="N183" s="7"/>
    </row>
    <row r="184" spans="1:17">
      <c r="D184" s="320" t="s">
        <v>196</v>
      </c>
      <c r="E184" s="322"/>
      <c r="F184" s="7"/>
      <c r="G184" s="7"/>
      <c r="H184" s="7"/>
      <c r="I184" s="7"/>
      <c r="J184" s="7"/>
      <c r="K184" s="7"/>
      <c r="L184" s="10"/>
      <c r="M184" s="7"/>
      <c r="N184" s="7"/>
    </row>
    <row r="185" spans="1:17">
      <c r="D185" s="24" t="s">
        <v>637</v>
      </c>
      <c r="E185" s="110"/>
      <c r="F185" s="69" t="s">
        <v>197</v>
      </c>
      <c r="G185" s="7"/>
      <c r="H185" s="7"/>
      <c r="I185" s="7"/>
      <c r="J185" s="7"/>
      <c r="K185" s="7"/>
      <c r="L185" s="9"/>
    </row>
    <row r="186" spans="1:17" ht="33.5" customHeight="1">
      <c r="A186" s="84" t="s">
        <v>648</v>
      </c>
      <c r="D186" s="120" t="s">
        <v>641</v>
      </c>
      <c r="E186" s="41" t="s">
        <v>650</v>
      </c>
      <c r="F186" s="69" t="s">
        <v>638</v>
      </c>
      <c r="G186" s="350" t="s">
        <v>198</v>
      </c>
      <c r="H186" s="351"/>
      <c r="I186" s="351"/>
      <c r="J186" s="351"/>
      <c r="K186" s="351"/>
      <c r="L186" s="351"/>
      <c r="M186" s="351"/>
      <c r="N186" s="351"/>
      <c r="O186" s="351"/>
      <c r="P186" s="351"/>
      <c r="Q186" s="352"/>
    </row>
    <row r="187" spans="1:17" ht="29" customHeight="1">
      <c r="A187" s="84" t="s">
        <v>649</v>
      </c>
      <c r="D187" s="120" t="s">
        <v>642</v>
      </c>
      <c r="E187" s="41" t="s">
        <v>650</v>
      </c>
      <c r="F187" s="69" t="s">
        <v>639</v>
      </c>
      <c r="G187" s="343" t="s">
        <v>199</v>
      </c>
      <c r="H187" s="343"/>
      <c r="I187" s="343"/>
      <c r="J187" s="343"/>
      <c r="K187" s="343"/>
      <c r="L187" s="343"/>
      <c r="M187" s="343"/>
      <c r="N187" s="343"/>
      <c r="O187" s="343"/>
      <c r="P187" s="343"/>
      <c r="Q187" s="343"/>
    </row>
    <row r="188" spans="1:17">
      <c r="A188" s="84" t="s">
        <v>650</v>
      </c>
      <c r="D188" s="120" t="s">
        <v>643</v>
      </c>
      <c r="E188" s="41" t="s">
        <v>650</v>
      </c>
      <c r="F188" s="69" t="s">
        <v>200</v>
      </c>
      <c r="G188" s="344" t="s">
        <v>201</v>
      </c>
      <c r="H188" s="345"/>
      <c r="I188" s="345"/>
      <c r="J188" s="345"/>
      <c r="K188" s="345"/>
      <c r="L188" s="345"/>
      <c r="M188" s="345"/>
      <c r="N188" s="345"/>
      <c r="O188" s="345"/>
      <c r="P188" s="345"/>
      <c r="Q188" s="346"/>
    </row>
    <row r="189" spans="1:17" ht="31" customHeight="1" thickBot="1">
      <c r="D189" s="125" t="s">
        <v>644</v>
      </c>
      <c r="E189" s="112" t="s">
        <v>650</v>
      </c>
      <c r="F189" s="69" t="s">
        <v>640</v>
      </c>
      <c r="G189" s="343" t="s">
        <v>202</v>
      </c>
      <c r="H189" s="343"/>
      <c r="I189" s="343"/>
      <c r="J189" s="343"/>
      <c r="K189" s="343"/>
      <c r="L189" s="343"/>
      <c r="M189" s="343"/>
      <c r="N189" s="343"/>
      <c r="O189" s="343"/>
      <c r="P189" s="343"/>
      <c r="Q189" s="343"/>
    </row>
    <row r="190" spans="1:17" ht="15.5" customHeight="1">
      <c r="D190" s="126" t="s">
        <v>204</v>
      </c>
      <c r="E190" s="127" t="s">
        <v>205</v>
      </c>
      <c r="F190" s="128" t="s">
        <v>206</v>
      </c>
      <c r="G190" s="299" t="s">
        <v>203</v>
      </c>
      <c r="H190" s="7"/>
      <c r="I190" s="7"/>
      <c r="J190" s="7"/>
      <c r="K190" s="7"/>
      <c r="L190" s="7"/>
    </row>
    <row r="191" spans="1:17" ht="68" customHeight="1">
      <c r="D191" s="43" t="s">
        <v>653</v>
      </c>
      <c r="E191" s="129" t="s">
        <v>3</v>
      </c>
      <c r="F191" s="130" t="s">
        <v>3</v>
      </c>
      <c r="G191" s="299"/>
      <c r="H191" s="292" t="s">
        <v>207</v>
      </c>
      <c r="I191" s="292"/>
      <c r="J191" s="292"/>
      <c r="K191" s="292"/>
      <c r="L191" s="292"/>
      <c r="M191" s="292"/>
      <c r="N191" s="292"/>
      <c r="O191" s="292"/>
      <c r="P191" s="292"/>
      <c r="Q191" s="292"/>
    </row>
    <row r="192" spans="1:17" ht="30" customHeight="1">
      <c r="D192" s="43" t="s">
        <v>654</v>
      </c>
      <c r="E192" s="129" t="s">
        <v>3</v>
      </c>
      <c r="F192" s="130" t="s">
        <v>3</v>
      </c>
      <c r="G192" s="299"/>
      <c r="H192" s="292" t="s">
        <v>208</v>
      </c>
      <c r="I192" s="292"/>
      <c r="J192" s="292"/>
      <c r="K192" s="292"/>
      <c r="L192" s="292"/>
      <c r="M192" s="292"/>
      <c r="N192" s="292"/>
      <c r="O192" s="292"/>
      <c r="P192" s="292"/>
      <c r="Q192" s="292"/>
    </row>
    <row r="193" spans="1:17" ht="30" customHeight="1">
      <c r="D193" s="43" t="s">
        <v>655</v>
      </c>
      <c r="E193" s="129" t="s">
        <v>3</v>
      </c>
      <c r="F193" s="130" t="s">
        <v>3</v>
      </c>
      <c r="G193" s="299"/>
      <c r="H193" s="292" t="s">
        <v>209</v>
      </c>
      <c r="I193" s="292"/>
      <c r="J193" s="292"/>
      <c r="K193" s="292"/>
      <c r="L193" s="292"/>
      <c r="M193" s="292"/>
      <c r="N193" s="292"/>
      <c r="O193" s="292"/>
      <c r="P193" s="292"/>
      <c r="Q193" s="292"/>
    </row>
    <row r="194" spans="1:17" ht="31" customHeight="1">
      <c r="D194" s="43" t="s">
        <v>656</v>
      </c>
      <c r="E194" s="129" t="s">
        <v>3</v>
      </c>
      <c r="F194" s="130" t="s">
        <v>3</v>
      </c>
      <c r="G194" s="299"/>
      <c r="H194" s="292" t="s">
        <v>210</v>
      </c>
      <c r="I194" s="292"/>
      <c r="J194" s="292"/>
      <c r="K194" s="292"/>
      <c r="L194" s="292"/>
      <c r="M194" s="292"/>
      <c r="N194" s="292"/>
      <c r="O194" s="292"/>
      <c r="P194" s="292"/>
      <c r="Q194" s="292"/>
    </row>
    <row r="195" spans="1:17" ht="15.75" customHeight="1" thickBot="1">
      <c r="D195" s="44" t="s">
        <v>657</v>
      </c>
      <c r="E195" s="131" t="s">
        <v>3</v>
      </c>
      <c r="F195" s="132" t="s">
        <v>3</v>
      </c>
      <c r="G195" s="299"/>
      <c r="H195" s="89"/>
      <c r="I195" s="7"/>
      <c r="J195" s="7"/>
      <c r="K195" s="7"/>
      <c r="L195" s="7"/>
    </row>
    <row r="196" spans="1:17">
      <c r="D196" s="133" t="s">
        <v>658</v>
      </c>
      <c r="E196" s="134" t="s">
        <v>659</v>
      </c>
      <c r="F196" s="135" t="s">
        <v>660</v>
      </c>
      <c r="G196" s="45" t="s">
        <v>211</v>
      </c>
      <c r="H196" s="7"/>
      <c r="I196" s="7"/>
      <c r="J196" s="7"/>
      <c r="K196" s="7"/>
      <c r="L196" s="9"/>
    </row>
    <row r="197" spans="1:17" ht="47.5" customHeight="1" thickBot="1">
      <c r="D197" s="136" t="s">
        <v>662</v>
      </c>
      <c r="E197" s="131" t="s">
        <v>3</v>
      </c>
      <c r="F197" s="132" t="s">
        <v>3</v>
      </c>
      <c r="G197" s="45" t="s">
        <v>212</v>
      </c>
      <c r="H197" s="292" t="s">
        <v>59</v>
      </c>
      <c r="I197" s="292"/>
      <c r="J197" s="292"/>
      <c r="K197" s="292"/>
      <c r="L197" s="292"/>
      <c r="M197" s="292"/>
      <c r="N197" s="292"/>
      <c r="O197" s="292"/>
      <c r="P197" s="292"/>
      <c r="Q197" s="292"/>
    </row>
    <row r="198" spans="1:17" ht="16" thickBot="1">
      <c r="D198" s="9"/>
      <c r="E198" s="9"/>
      <c r="F198" s="8"/>
      <c r="G198" s="8"/>
      <c r="H198" s="8"/>
      <c r="I198" s="8"/>
      <c r="J198" s="8"/>
      <c r="K198" s="8"/>
      <c r="L198" s="9"/>
    </row>
    <row r="199" spans="1:17">
      <c r="D199" s="320" t="s">
        <v>213</v>
      </c>
      <c r="E199" s="322"/>
      <c r="F199" s="10"/>
      <c r="G199" s="8"/>
      <c r="H199" s="10"/>
      <c r="I199" s="10"/>
      <c r="J199" s="10"/>
      <c r="K199" s="10"/>
      <c r="L199" s="10"/>
    </row>
    <row r="200" spans="1:17">
      <c r="D200" s="366" t="s">
        <v>663</v>
      </c>
      <c r="E200" s="367"/>
      <c r="F200" s="45" t="s">
        <v>214</v>
      </c>
      <c r="G200" s="89"/>
      <c r="H200" s="89"/>
      <c r="I200" s="7"/>
      <c r="J200" s="7"/>
      <c r="K200" s="7"/>
      <c r="L200" s="9"/>
    </row>
    <row r="201" spans="1:17">
      <c r="D201" s="137" t="s">
        <v>664</v>
      </c>
      <c r="E201" s="41">
        <v>0</v>
      </c>
      <c r="F201" s="45" t="s">
        <v>215</v>
      </c>
      <c r="G201" s="89"/>
      <c r="I201" s="7"/>
      <c r="J201" s="7"/>
      <c r="K201" s="7"/>
      <c r="L201" s="9"/>
    </row>
    <row r="202" spans="1:17">
      <c r="D202" s="137" t="s">
        <v>666</v>
      </c>
      <c r="E202" s="41">
        <v>0</v>
      </c>
      <c r="F202" s="45" t="s">
        <v>216</v>
      </c>
      <c r="G202" s="89"/>
      <c r="I202" s="7"/>
      <c r="J202" s="7"/>
      <c r="K202" s="7"/>
      <c r="L202" s="9"/>
    </row>
    <row r="203" spans="1:17">
      <c r="D203" s="137" t="s">
        <v>667</v>
      </c>
      <c r="E203" s="41">
        <v>0</v>
      </c>
      <c r="F203" s="45" t="s">
        <v>217</v>
      </c>
      <c r="G203" s="89"/>
      <c r="I203" s="7"/>
      <c r="J203" s="7"/>
      <c r="K203" s="7"/>
      <c r="L203" s="9"/>
    </row>
    <row r="204" spans="1:17" ht="16" thickBot="1">
      <c r="D204" s="138" t="s">
        <v>665</v>
      </c>
      <c r="E204" s="139">
        <f>+E201+E202-E203</f>
        <v>0</v>
      </c>
      <c r="F204" s="45" t="s">
        <v>218</v>
      </c>
      <c r="G204" s="89"/>
      <c r="I204" s="7"/>
      <c r="J204" s="7"/>
      <c r="K204" s="7"/>
      <c r="L204" s="9"/>
    </row>
    <row r="205" spans="1:17" ht="16" thickBot="1">
      <c r="D205" s="7"/>
      <c r="E205" s="7"/>
      <c r="F205" s="7"/>
      <c r="G205" s="7"/>
      <c r="H205" s="7"/>
      <c r="I205" s="7"/>
      <c r="J205" s="7"/>
      <c r="K205" s="7"/>
    </row>
    <row r="206" spans="1:17">
      <c r="D206" s="320" t="s">
        <v>219</v>
      </c>
      <c r="E206" s="322" t="s">
        <v>102</v>
      </c>
      <c r="F206" s="5"/>
      <c r="G206" s="5"/>
      <c r="H206" s="5"/>
      <c r="I206" s="5"/>
      <c r="J206" s="5"/>
      <c r="K206" s="5"/>
      <c r="L206" s="5"/>
      <c r="M206" s="5"/>
      <c r="N206" s="5"/>
    </row>
    <row r="207" spans="1:17" ht="31" customHeight="1" thickBot="1">
      <c r="D207" s="140" t="s">
        <v>221</v>
      </c>
      <c r="E207" s="112" t="s">
        <v>650</v>
      </c>
      <c r="F207" s="45" t="s">
        <v>220</v>
      </c>
      <c r="G207" s="328" t="s">
        <v>222</v>
      </c>
      <c r="H207" s="329"/>
      <c r="I207" s="329"/>
      <c r="J207" s="329"/>
      <c r="K207" s="290"/>
      <c r="L207" s="290"/>
      <c r="M207" s="290"/>
      <c r="N207" s="290"/>
      <c r="O207" s="290"/>
      <c r="P207" s="291"/>
    </row>
    <row r="208" spans="1:17">
      <c r="A208" s="9"/>
      <c r="B208" s="9"/>
      <c r="C208" s="9"/>
      <c r="D208" s="320" t="s">
        <v>223</v>
      </c>
      <c r="E208" s="321"/>
      <c r="F208" s="321"/>
      <c r="G208" s="321"/>
      <c r="H208" s="321"/>
      <c r="I208" s="321"/>
      <c r="J208" s="322"/>
      <c r="K208" s="7"/>
      <c r="L208" s="7"/>
      <c r="M208" s="7"/>
      <c r="N208" s="7"/>
    </row>
    <row r="209" spans="1:16" ht="77.5" customHeight="1">
      <c r="A209" s="9"/>
      <c r="B209" s="9"/>
      <c r="C209" s="9"/>
      <c r="D209" s="370" t="s">
        <v>224</v>
      </c>
      <c r="E209" s="368" t="s">
        <v>668</v>
      </c>
      <c r="F209" s="293" t="s">
        <v>669</v>
      </c>
      <c r="G209" s="294"/>
      <c r="H209" s="294"/>
      <c r="I209" s="295"/>
      <c r="J209" s="110" t="s">
        <v>670</v>
      </c>
      <c r="K209" s="299" t="s">
        <v>220</v>
      </c>
      <c r="L209" s="7"/>
      <c r="M209" s="7"/>
      <c r="N209" s="7"/>
    </row>
    <row r="210" spans="1:16" ht="18.5">
      <c r="A210" s="9"/>
      <c r="B210" s="9"/>
      <c r="C210" s="9"/>
      <c r="D210" s="371"/>
      <c r="E210" s="369"/>
      <c r="F210" s="19" t="s">
        <v>226</v>
      </c>
      <c r="G210" s="19" t="s">
        <v>228</v>
      </c>
      <c r="H210" s="19" t="s">
        <v>229</v>
      </c>
      <c r="I210" s="1" t="s">
        <v>230</v>
      </c>
      <c r="J210" s="110"/>
      <c r="K210" s="299"/>
      <c r="L210" s="7"/>
      <c r="M210" s="7"/>
      <c r="N210" s="7"/>
    </row>
    <row r="211" spans="1:16" ht="18.5">
      <c r="A211" s="9"/>
      <c r="B211" s="9"/>
      <c r="C211" s="9"/>
      <c r="D211" s="141" t="s">
        <v>225</v>
      </c>
      <c r="E211" s="42">
        <v>0</v>
      </c>
      <c r="F211" s="42">
        <v>0</v>
      </c>
      <c r="G211" s="42">
        <v>0</v>
      </c>
      <c r="H211" s="42">
        <v>0</v>
      </c>
      <c r="I211" s="42">
        <v>0</v>
      </c>
      <c r="J211" s="41">
        <v>0</v>
      </c>
      <c r="K211" s="299"/>
      <c r="L211" s="7"/>
      <c r="M211" s="7"/>
      <c r="N211" s="7"/>
    </row>
    <row r="212" spans="1:16" ht="18.5">
      <c r="A212" s="9"/>
      <c r="B212" s="9"/>
      <c r="C212" s="9"/>
      <c r="D212" s="141" t="s">
        <v>226</v>
      </c>
      <c r="E212" s="42">
        <v>0</v>
      </c>
      <c r="F212" s="1" t="s">
        <v>227</v>
      </c>
      <c r="G212" s="42">
        <v>0</v>
      </c>
      <c r="H212" s="42">
        <v>0</v>
      </c>
      <c r="I212" s="42">
        <v>0</v>
      </c>
      <c r="J212" s="41">
        <v>0</v>
      </c>
      <c r="K212" s="299"/>
      <c r="L212" s="7"/>
      <c r="M212" s="7"/>
      <c r="N212" s="7"/>
    </row>
    <row r="213" spans="1:16" ht="18.5">
      <c r="A213" s="9"/>
      <c r="B213" s="9"/>
      <c r="C213" s="9"/>
      <c r="D213" s="141" t="s">
        <v>228</v>
      </c>
      <c r="E213" s="42">
        <v>0</v>
      </c>
      <c r="F213" s="1" t="s">
        <v>227</v>
      </c>
      <c r="G213" s="3" t="s">
        <v>227</v>
      </c>
      <c r="H213" s="42">
        <v>0</v>
      </c>
      <c r="I213" s="42">
        <v>0</v>
      </c>
      <c r="J213" s="41">
        <v>0</v>
      </c>
      <c r="K213" s="299"/>
      <c r="L213" s="7"/>
      <c r="M213" s="7"/>
      <c r="N213" s="7"/>
    </row>
    <row r="214" spans="1:16" ht="18.5">
      <c r="A214" s="9"/>
      <c r="B214" s="9"/>
      <c r="C214" s="9"/>
      <c r="D214" s="141" t="s">
        <v>229</v>
      </c>
      <c r="E214" s="42">
        <v>0</v>
      </c>
      <c r="F214" s="1" t="s">
        <v>227</v>
      </c>
      <c r="G214" s="3" t="s">
        <v>227</v>
      </c>
      <c r="H214" s="1" t="s">
        <v>227</v>
      </c>
      <c r="I214" s="42">
        <v>0</v>
      </c>
      <c r="J214" s="41">
        <v>0</v>
      </c>
      <c r="K214" s="299"/>
      <c r="L214" s="7"/>
      <c r="M214" s="7"/>
      <c r="N214" s="7"/>
    </row>
    <row r="215" spans="1:16" ht="15" customHeight="1" thickBot="1">
      <c r="A215" s="9"/>
      <c r="B215" s="9"/>
      <c r="C215" s="9"/>
      <c r="D215" s="25" t="s">
        <v>230</v>
      </c>
      <c r="E215" s="106">
        <v>0</v>
      </c>
      <c r="F215" s="142" t="s">
        <v>227</v>
      </c>
      <c r="G215" s="143" t="s">
        <v>227</v>
      </c>
      <c r="H215" s="142" t="s">
        <v>227</v>
      </c>
      <c r="I215" s="143" t="s">
        <v>227</v>
      </c>
      <c r="J215" s="144" t="s">
        <v>227</v>
      </c>
      <c r="K215" s="299"/>
      <c r="L215" s="7"/>
      <c r="M215" s="7"/>
      <c r="N215" s="7"/>
    </row>
    <row r="216" spans="1:16" ht="16" thickBot="1">
      <c r="A216" s="9"/>
      <c r="B216" s="9"/>
      <c r="C216" s="9"/>
      <c r="D216" s="11"/>
      <c r="E216" s="8"/>
      <c r="F216" s="11"/>
      <c r="G216" s="7"/>
      <c r="H216" s="7"/>
      <c r="I216" s="7"/>
      <c r="J216" s="7"/>
      <c r="K216" s="7"/>
      <c r="L216" s="7"/>
      <c r="M216" s="7"/>
      <c r="N216" s="7"/>
    </row>
    <row r="217" spans="1:16" ht="16" thickBot="1">
      <c r="A217" s="9"/>
      <c r="B217" s="9"/>
      <c r="C217" s="9"/>
      <c r="D217" s="296" t="s">
        <v>231</v>
      </c>
      <c r="E217" s="297"/>
      <c r="F217" s="298"/>
      <c r="G217" s="7"/>
      <c r="H217" s="7"/>
      <c r="I217" s="7"/>
      <c r="J217" s="7"/>
      <c r="K217" s="7"/>
      <c r="L217" s="7"/>
      <c r="M217" s="7"/>
      <c r="N217" s="7"/>
    </row>
    <row r="218" spans="1:16" ht="15" customHeight="1">
      <c r="A218" s="9"/>
      <c r="B218" s="9"/>
      <c r="C218" s="9"/>
      <c r="D218" s="145" t="s">
        <v>671</v>
      </c>
      <c r="E218" s="146" t="s">
        <v>672</v>
      </c>
      <c r="F218" s="135" t="s">
        <v>673</v>
      </c>
      <c r="G218" s="299" t="s">
        <v>232</v>
      </c>
      <c r="H218" s="7"/>
      <c r="I218" s="7"/>
      <c r="J218" s="7"/>
      <c r="K218" s="7"/>
      <c r="L218" s="7"/>
      <c r="M218" s="7"/>
      <c r="N218" s="7"/>
    </row>
    <row r="219" spans="1:16" ht="30" customHeight="1" thickBot="1">
      <c r="A219" s="9"/>
      <c r="B219" s="9"/>
      <c r="C219" s="9"/>
      <c r="D219" s="107">
        <v>0</v>
      </c>
      <c r="E219" s="106">
        <v>0</v>
      </c>
      <c r="F219" s="99">
        <v>0</v>
      </c>
      <c r="G219" s="299"/>
      <c r="H219" s="7"/>
      <c r="I219" s="7"/>
      <c r="J219" s="7"/>
      <c r="K219" s="7"/>
      <c r="L219" s="7"/>
      <c r="M219" s="7"/>
      <c r="N219" s="7"/>
    </row>
    <row r="220" spans="1:16">
      <c r="A220" s="9"/>
      <c r="B220" s="9"/>
      <c r="C220" s="9"/>
      <c r="D220" s="5"/>
      <c r="E220" s="5"/>
      <c r="F220" s="5"/>
      <c r="G220" s="5"/>
      <c r="H220" s="5"/>
      <c r="I220" s="5"/>
      <c r="J220" s="5"/>
      <c r="K220" s="5"/>
      <c r="L220" s="5"/>
      <c r="M220" s="5"/>
      <c r="N220" s="5"/>
    </row>
    <row r="221" spans="1:16" ht="16" thickBot="1">
      <c r="A221" s="9"/>
      <c r="B221" s="9"/>
      <c r="C221" s="9"/>
      <c r="D221" s="5"/>
      <c r="E221" s="5"/>
      <c r="F221" s="5"/>
      <c r="G221" s="5"/>
      <c r="H221" s="5"/>
      <c r="I221" s="5"/>
      <c r="J221" s="5"/>
      <c r="K221" s="5"/>
      <c r="L221" s="5"/>
      <c r="M221" s="5"/>
      <c r="N221" s="5"/>
    </row>
    <row r="222" spans="1:16" ht="33" customHeight="1" thickBot="1">
      <c r="A222" s="9"/>
      <c r="B222" s="9"/>
      <c r="C222" s="9"/>
      <c r="D222" s="353" t="s">
        <v>234</v>
      </c>
      <c r="E222" s="354"/>
      <c r="F222" s="45" t="s">
        <v>233</v>
      </c>
      <c r="G222" s="292" t="s">
        <v>235</v>
      </c>
      <c r="H222" s="292"/>
      <c r="I222" s="292"/>
      <c r="J222" s="292"/>
      <c r="K222" s="292"/>
      <c r="L222" s="292"/>
      <c r="M222" s="292"/>
      <c r="N222" s="292"/>
      <c r="O222" s="292"/>
      <c r="P222" s="292"/>
    </row>
    <row r="223" spans="1:16" ht="15" customHeight="1" thickBot="1">
      <c r="A223" s="9"/>
      <c r="B223" s="9"/>
      <c r="C223" s="9"/>
      <c r="D223" s="296" t="s">
        <v>236</v>
      </c>
      <c r="E223" s="298"/>
      <c r="F223" s="7"/>
      <c r="G223" s="7"/>
      <c r="H223" s="7"/>
      <c r="I223" s="7"/>
      <c r="J223" s="7"/>
      <c r="K223" s="7"/>
      <c r="L223" s="7"/>
      <c r="M223" s="7"/>
      <c r="N223" s="7"/>
    </row>
    <row r="224" spans="1:16">
      <c r="A224" s="84"/>
      <c r="B224" s="9"/>
      <c r="C224" s="9"/>
      <c r="D224" s="12" t="s">
        <v>238</v>
      </c>
      <c r="E224" s="41" t="s">
        <v>650</v>
      </c>
      <c r="F224" s="45" t="s">
        <v>237</v>
      </c>
      <c r="G224" s="18"/>
      <c r="H224" s="18"/>
      <c r="I224" s="18"/>
      <c r="J224" s="18"/>
      <c r="K224" s="18"/>
      <c r="L224" s="18"/>
      <c r="M224" s="18"/>
      <c r="N224" s="18"/>
      <c r="O224" s="18"/>
      <c r="P224" s="18"/>
    </row>
    <row r="225" spans="1:30" ht="16" thickBot="1">
      <c r="A225" s="84"/>
      <c r="B225" s="9"/>
      <c r="C225" s="9"/>
      <c r="D225" s="5"/>
      <c r="E225" s="7"/>
      <c r="F225" s="7"/>
      <c r="G225" s="7"/>
      <c r="H225" s="7"/>
      <c r="I225" s="7"/>
      <c r="J225" s="7"/>
      <c r="K225" s="7"/>
      <c r="L225" s="7"/>
      <c r="M225" s="7"/>
      <c r="N225" s="7"/>
    </row>
    <row r="226" spans="1:30" ht="15.5" customHeight="1">
      <c r="A226" s="84"/>
      <c r="B226" s="9"/>
      <c r="C226" s="9"/>
      <c r="D226" s="320" t="s">
        <v>240</v>
      </c>
      <c r="E226" s="322"/>
      <c r="F226" s="299" t="s">
        <v>239</v>
      </c>
      <c r="G226" s="7"/>
      <c r="H226" s="7"/>
      <c r="I226" s="7"/>
      <c r="J226" s="7"/>
      <c r="K226" s="7"/>
      <c r="L226" s="7"/>
      <c r="M226" s="7"/>
      <c r="N226" s="7"/>
    </row>
    <row r="227" spans="1:30">
      <c r="A227" s="9"/>
      <c r="B227" s="9"/>
      <c r="C227" s="9"/>
      <c r="D227" s="43" t="s">
        <v>241</v>
      </c>
      <c r="E227" s="147" t="s">
        <v>242</v>
      </c>
      <c r="F227" s="299"/>
      <c r="G227" s="7"/>
      <c r="H227" s="7"/>
      <c r="I227" s="7"/>
      <c r="J227" s="7"/>
      <c r="K227" s="7"/>
      <c r="L227" s="7"/>
      <c r="M227" s="7"/>
      <c r="N227" s="7"/>
    </row>
    <row r="228" spans="1:30" ht="21" customHeight="1" thickBot="1">
      <c r="A228" s="84" t="s">
        <v>674</v>
      </c>
      <c r="B228" s="9"/>
      <c r="C228" s="9"/>
      <c r="D228" s="107" t="s">
        <v>3</v>
      </c>
      <c r="E228" s="99" t="s">
        <v>3</v>
      </c>
      <c r="F228" s="299"/>
      <c r="G228" s="89"/>
      <c r="H228" s="7"/>
      <c r="I228" s="7"/>
      <c r="J228" s="7"/>
      <c r="K228" s="7"/>
      <c r="L228" s="7"/>
      <c r="M228" s="7"/>
      <c r="N228" s="7"/>
    </row>
    <row r="229" spans="1:30" ht="16" thickBot="1">
      <c r="A229" s="84" t="s">
        <v>3</v>
      </c>
    </row>
    <row r="230" spans="1:30" ht="16.5" customHeight="1" thickBot="1">
      <c r="A230" s="9"/>
      <c r="B230" s="9"/>
      <c r="C230" s="9"/>
      <c r="D230" s="296" t="s">
        <v>244</v>
      </c>
      <c r="E230" s="297"/>
      <c r="F230" s="297"/>
      <c r="G230" s="297"/>
      <c r="H230" s="297"/>
      <c r="I230" s="297"/>
      <c r="J230" s="297"/>
      <c r="K230" s="297"/>
      <c r="L230" s="297"/>
      <c r="M230" s="298"/>
      <c r="N230" s="45" t="s">
        <v>243</v>
      </c>
    </row>
    <row r="231" spans="1:30" ht="16" thickBot="1">
      <c r="A231" s="9"/>
      <c r="B231" s="9"/>
      <c r="C231" s="9"/>
      <c r="D231" s="303" t="s">
        <v>675</v>
      </c>
      <c r="E231" s="304"/>
      <c r="F231" s="304"/>
      <c r="G231" s="304"/>
      <c r="H231" s="304"/>
      <c r="I231" s="304"/>
      <c r="J231" s="304"/>
      <c r="K231" s="304"/>
      <c r="L231" s="304"/>
      <c r="M231" s="304"/>
    </row>
    <row r="232" spans="1:30" ht="16.5" customHeight="1" thickBot="1">
      <c r="A232" s="9"/>
      <c r="B232" s="9"/>
      <c r="C232" s="9"/>
      <c r="D232" s="156" t="s">
        <v>247</v>
      </c>
      <c r="E232" s="159" t="str">
        <f>+'1 MNE Group Information'!G40</f>
        <v>Nord Stream AG (Stateless Permanent Establishment Denmark)</v>
      </c>
      <c r="F232" s="159"/>
      <c r="G232" s="159"/>
      <c r="H232" s="159"/>
      <c r="I232" s="159"/>
      <c r="J232" s="159"/>
      <c r="K232" s="159"/>
      <c r="L232" s="160"/>
      <c r="M232" s="157" t="s">
        <v>676</v>
      </c>
      <c r="N232" s="45" t="s">
        <v>245</v>
      </c>
      <c r="O232" s="45" t="s">
        <v>246</v>
      </c>
    </row>
    <row r="233" spans="1:30" ht="16.5" customHeight="1">
      <c r="A233" s="9"/>
      <c r="B233" s="9"/>
      <c r="C233" s="9"/>
      <c r="D233" s="153" t="s">
        <v>249</v>
      </c>
      <c r="E233" s="154">
        <f>+E271</f>
        <v>85865874</v>
      </c>
      <c r="F233" s="154">
        <f t="shared" ref="F233:L233" si="3">+F271</f>
        <v>0</v>
      </c>
      <c r="G233" s="154">
        <f t="shared" si="3"/>
        <v>0</v>
      </c>
      <c r="H233" s="154">
        <f t="shared" si="3"/>
        <v>0</v>
      </c>
      <c r="I233" s="154">
        <f t="shared" si="3"/>
        <v>0</v>
      </c>
      <c r="J233" s="154">
        <f t="shared" si="3"/>
        <v>0</v>
      </c>
      <c r="K233" s="154">
        <f t="shared" si="3"/>
        <v>0</v>
      </c>
      <c r="L233" s="154">
        <f t="shared" si="3"/>
        <v>0</v>
      </c>
      <c r="M233" s="155">
        <f>SUM(E233:L233)</f>
        <v>85865874</v>
      </c>
      <c r="N233" s="45" t="s">
        <v>19</v>
      </c>
      <c r="O233" s="45" t="s">
        <v>248</v>
      </c>
    </row>
    <row r="234" spans="1:30" ht="16.5" customHeight="1">
      <c r="A234" s="9"/>
      <c r="B234" s="9"/>
      <c r="C234" s="9"/>
      <c r="D234" s="300" t="s">
        <v>697</v>
      </c>
      <c r="E234" s="301"/>
      <c r="F234" s="301"/>
      <c r="G234" s="301"/>
      <c r="H234" s="301"/>
      <c r="I234" s="301"/>
      <c r="J234" s="301"/>
      <c r="K234" s="301"/>
      <c r="L234" s="301"/>
      <c r="M234" s="302"/>
      <c r="N234" s="45" t="s">
        <v>137</v>
      </c>
      <c r="O234" s="45"/>
    </row>
    <row r="235" spans="1:30" ht="84" customHeight="1">
      <c r="A235" s="9"/>
      <c r="B235" s="9"/>
      <c r="C235" s="9"/>
      <c r="D235" s="23" t="s">
        <v>484</v>
      </c>
      <c r="E235" s="42">
        <v>3456765</v>
      </c>
      <c r="F235" s="42">
        <v>0</v>
      </c>
      <c r="G235" s="42">
        <v>0</v>
      </c>
      <c r="H235" s="42">
        <v>0</v>
      </c>
      <c r="I235" s="42">
        <v>0</v>
      </c>
      <c r="J235" s="42">
        <v>0</v>
      </c>
      <c r="K235" s="42">
        <v>0</v>
      </c>
      <c r="L235" s="42">
        <v>0</v>
      </c>
      <c r="M235" s="150">
        <f t="shared" ref="M235:M260" si="4">SUM(E235:L235)</f>
        <v>3456765</v>
      </c>
      <c r="N235" s="45" t="s">
        <v>23</v>
      </c>
      <c r="O235" s="45" t="s">
        <v>677</v>
      </c>
      <c r="P235" s="289" t="s">
        <v>251</v>
      </c>
      <c r="Q235" s="290"/>
      <c r="R235" s="290"/>
      <c r="S235" s="290"/>
      <c r="T235" s="290"/>
      <c r="U235" s="290"/>
      <c r="V235" s="290"/>
      <c r="W235" s="290"/>
      <c r="X235" s="290"/>
      <c r="Y235" s="290"/>
      <c r="Z235" s="290"/>
      <c r="AA235" s="290"/>
      <c r="AB235" s="290"/>
      <c r="AC235" s="290"/>
      <c r="AD235" s="291"/>
    </row>
    <row r="236" spans="1:30" ht="31.5" customHeight="1">
      <c r="A236" s="9"/>
      <c r="B236" s="9"/>
      <c r="C236" s="9"/>
      <c r="D236" s="93" t="s">
        <v>485</v>
      </c>
      <c r="E236" s="42">
        <v>0</v>
      </c>
      <c r="F236" s="42">
        <v>0</v>
      </c>
      <c r="G236" s="42">
        <v>0</v>
      </c>
      <c r="H236" s="42">
        <v>0</v>
      </c>
      <c r="I236" s="42">
        <v>0</v>
      </c>
      <c r="J236" s="42">
        <v>0</v>
      </c>
      <c r="K236" s="42">
        <v>0</v>
      </c>
      <c r="L236" s="42">
        <v>0</v>
      </c>
      <c r="M236" s="150">
        <f t="shared" si="4"/>
        <v>0</v>
      </c>
      <c r="N236" s="45" t="s">
        <v>24</v>
      </c>
      <c r="O236" s="45" t="s">
        <v>678</v>
      </c>
      <c r="P236" s="289" t="s">
        <v>252</v>
      </c>
      <c r="Q236" s="290"/>
      <c r="R236" s="290"/>
      <c r="S236" s="290"/>
      <c r="T236" s="290"/>
      <c r="U236" s="290"/>
      <c r="V236" s="290"/>
      <c r="W236" s="290"/>
      <c r="X236" s="290"/>
      <c r="Y236" s="290"/>
      <c r="Z236" s="290"/>
      <c r="AA236" s="290"/>
      <c r="AB236" s="290"/>
      <c r="AC236" s="290"/>
      <c r="AD236" s="291"/>
    </row>
    <row r="237" spans="1:30" ht="34.5" customHeight="1">
      <c r="A237" s="9"/>
      <c r="B237" s="9"/>
      <c r="C237" s="9"/>
      <c r="D237" s="93" t="s">
        <v>486</v>
      </c>
      <c r="E237" s="42">
        <v>0</v>
      </c>
      <c r="F237" s="42">
        <v>0</v>
      </c>
      <c r="G237" s="42">
        <v>0</v>
      </c>
      <c r="H237" s="42">
        <v>0</v>
      </c>
      <c r="I237" s="42">
        <v>0</v>
      </c>
      <c r="J237" s="42">
        <v>0</v>
      </c>
      <c r="K237" s="42">
        <v>0</v>
      </c>
      <c r="L237" s="42">
        <v>0</v>
      </c>
      <c r="M237" s="150">
        <f t="shared" si="4"/>
        <v>0</v>
      </c>
      <c r="N237" s="45" t="s">
        <v>25</v>
      </c>
      <c r="O237" s="45" t="s">
        <v>679</v>
      </c>
      <c r="P237" s="289" t="s">
        <v>253</v>
      </c>
      <c r="Q237" s="290"/>
      <c r="R237" s="290"/>
      <c r="S237" s="290"/>
      <c r="T237" s="290"/>
      <c r="U237" s="290"/>
      <c r="V237" s="290"/>
      <c r="W237" s="290"/>
      <c r="X237" s="290"/>
      <c r="Y237" s="290"/>
      <c r="Z237" s="290"/>
      <c r="AA237" s="290"/>
      <c r="AB237" s="290"/>
      <c r="AC237" s="290"/>
      <c r="AD237" s="291"/>
    </row>
    <row r="238" spans="1:30" ht="16.5" customHeight="1">
      <c r="A238" s="9"/>
      <c r="B238" s="9"/>
      <c r="C238" s="9"/>
      <c r="D238" s="93" t="s">
        <v>487</v>
      </c>
      <c r="E238" s="42">
        <v>0</v>
      </c>
      <c r="F238" s="42">
        <v>0</v>
      </c>
      <c r="G238" s="42">
        <v>0</v>
      </c>
      <c r="H238" s="42">
        <v>0</v>
      </c>
      <c r="I238" s="42">
        <v>0</v>
      </c>
      <c r="J238" s="42">
        <v>0</v>
      </c>
      <c r="K238" s="42">
        <v>0</v>
      </c>
      <c r="L238" s="42">
        <v>0</v>
      </c>
      <c r="M238" s="150">
        <f t="shared" si="4"/>
        <v>0</v>
      </c>
      <c r="N238" s="45" t="s">
        <v>26</v>
      </c>
      <c r="O238" s="45" t="s">
        <v>680</v>
      </c>
      <c r="P238" s="289" t="s">
        <v>254</v>
      </c>
      <c r="Q238" s="290"/>
      <c r="R238" s="290"/>
      <c r="S238" s="290"/>
      <c r="T238" s="290"/>
      <c r="U238" s="290"/>
      <c r="V238" s="290"/>
      <c r="W238" s="290"/>
      <c r="X238" s="290"/>
      <c r="Y238" s="290"/>
      <c r="Z238" s="290"/>
      <c r="AA238" s="290"/>
      <c r="AB238" s="290"/>
      <c r="AC238" s="290"/>
      <c r="AD238" s="291"/>
    </row>
    <row r="239" spans="1:30" ht="36" customHeight="1">
      <c r="A239" s="9"/>
      <c r="B239" s="9"/>
      <c r="C239" s="9"/>
      <c r="D239" s="93" t="s">
        <v>488</v>
      </c>
      <c r="E239" s="42">
        <v>0</v>
      </c>
      <c r="F239" s="42">
        <v>0</v>
      </c>
      <c r="G239" s="42">
        <v>0</v>
      </c>
      <c r="H239" s="42">
        <v>0</v>
      </c>
      <c r="I239" s="42">
        <v>0</v>
      </c>
      <c r="J239" s="42">
        <v>0</v>
      </c>
      <c r="K239" s="42">
        <v>0</v>
      </c>
      <c r="L239" s="42">
        <v>0</v>
      </c>
      <c r="M239" s="150">
        <f t="shared" si="4"/>
        <v>0</v>
      </c>
      <c r="N239" s="45" t="s">
        <v>27</v>
      </c>
      <c r="O239" s="45" t="s">
        <v>255</v>
      </c>
      <c r="P239" s="289" t="s">
        <v>256</v>
      </c>
      <c r="Q239" s="290"/>
      <c r="R239" s="290"/>
      <c r="S239" s="290"/>
      <c r="T239" s="290"/>
      <c r="U239" s="290"/>
      <c r="V239" s="290"/>
      <c r="W239" s="290"/>
      <c r="X239" s="290"/>
      <c r="Y239" s="290"/>
      <c r="Z239" s="290"/>
      <c r="AA239" s="290"/>
      <c r="AB239" s="290"/>
      <c r="AC239" s="290"/>
      <c r="AD239" s="291"/>
    </row>
    <row r="240" spans="1:30" ht="36" customHeight="1">
      <c r="A240" s="9"/>
      <c r="B240" s="9"/>
      <c r="C240" s="9"/>
      <c r="D240" s="93" t="s">
        <v>489</v>
      </c>
      <c r="E240" s="42">
        <v>0</v>
      </c>
      <c r="F240" s="42">
        <v>0</v>
      </c>
      <c r="G240" s="42">
        <v>0</v>
      </c>
      <c r="H240" s="42">
        <v>0</v>
      </c>
      <c r="I240" s="42">
        <v>0</v>
      </c>
      <c r="J240" s="42">
        <v>0</v>
      </c>
      <c r="K240" s="42">
        <v>0</v>
      </c>
      <c r="L240" s="42">
        <v>0</v>
      </c>
      <c r="M240" s="150">
        <f t="shared" si="4"/>
        <v>0</v>
      </c>
      <c r="N240" s="45" t="s">
        <v>28</v>
      </c>
      <c r="O240" s="45" t="s">
        <v>681</v>
      </c>
      <c r="P240" s="289" t="s">
        <v>257</v>
      </c>
      <c r="Q240" s="290"/>
      <c r="R240" s="290"/>
      <c r="S240" s="290"/>
      <c r="T240" s="290"/>
      <c r="U240" s="290"/>
      <c r="V240" s="290"/>
      <c r="W240" s="290"/>
      <c r="X240" s="290"/>
      <c r="Y240" s="290"/>
      <c r="Z240" s="290"/>
      <c r="AA240" s="290"/>
      <c r="AB240" s="290"/>
      <c r="AC240" s="290"/>
      <c r="AD240" s="291"/>
    </row>
    <row r="241" spans="1:30" ht="101" customHeight="1">
      <c r="A241" s="9"/>
      <c r="B241" s="9"/>
      <c r="C241" s="9"/>
      <c r="D241" s="93" t="s">
        <v>490</v>
      </c>
      <c r="E241" s="42">
        <v>0</v>
      </c>
      <c r="F241" s="42">
        <v>0</v>
      </c>
      <c r="G241" s="42">
        <v>0</v>
      </c>
      <c r="H241" s="42">
        <v>0</v>
      </c>
      <c r="I241" s="42">
        <v>0</v>
      </c>
      <c r="J241" s="42">
        <v>0</v>
      </c>
      <c r="K241" s="42">
        <v>0</v>
      </c>
      <c r="L241" s="42">
        <v>0</v>
      </c>
      <c r="M241" s="150">
        <f t="shared" si="4"/>
        <v>0</v>
      </c>
      <c r="N241" s="45" t="s">
        <v>29</v>
      </c>
      <c r="O241" s="45" t="s">
        <v>682</v>
      </c>
      <c r="P241" s="289" t="s">
        <v>258</v>
      </c>
      <c r="Q241" s="290"/>
      <c r="R241" s="290"/>
      <c r="S241" s="290"/>
      <c r="T241" s="290"/>
      <c r="U241" s="290"/>
      <c r="V241" s="290"/>
      <c r="W241" s="290"/>
      <c r="X241" s="290"/>
      <c r="Y241" s="290"/>
      <c r="Z241" s="290"/>
      <c r="AA241" s="290"/>
      <c r="AB241" s="290"/>
      <c r="AC241" s="290"/>
      <c r="AD241" s="291"/>
    </row>
    <row r="242" spans="1:30" ht="16.5" customHeight="1">
      <c r="A242" s="9"/>
      <c r="B242" s="9"/>
      <c r="C242" s="9"/>
      <c r="D242" s="93" t="s">
        <v>491</v>
      </c>
      <c r="E242" s="42">
        <v>0</v>
      </c>
      <c r="F242" s="42">
        <v>0</v>
      </c>
      <c r="G242" s="42">
        <v>0</v>
      </c>
      <c r="H242" s="42">
        <v>0</v>
      </c>
      <c r="I242" s="42">
        <v>0</v>
      </c>
      <c r="J242" s="42">
        <v>0</v>
      </c>
      <c r="K242" s="42">
        <v>0</v>
      </c>
      <c r="L242" s="42">
        <v>0</v>
      </c>
      <c r="M242" s="150">
        <f t="shared" si="4"/>
        <v>0</v>
      </c>
      <c r="N242" s="45" t="s">
        <v>30</v>
      </c>
      <c r="O242" s="45" t="s">
        <v>683</v>
      </c>
      <c r="P242" s="289" t="s">
        <v>259</v>
      </c>
      <c r="Q242" s="290"/>
      <c r="R242" s="290"/>
      <c r="S242" s="290"/>
      <c r="T242" s="290"/>
      <c r="U242" s="290"/>
      <c r="V242" s="290"/>
      <c r="W242" s="290"/>
      <c r="X242" s="290"/>
      <c r="Y242" s="290"/>
      <c r="Z242" s="290"/>
      <c r="AA242" s="290"/>
      <c r="AB242" s="290"/>
      <c r="AC242" s="290"/>
      <c r="AD242" s="291"/>
    </row>
    <row r="243" spans="1:30" ht="16.5" customHeight="1">
      <c r="A243" s="9"/>
      <c r="B243" s="9"/>
      <c r="C243" s="9"/>
      <c r="D243" s="93" t="s">
        <v>492</v>
      </c>
      <c r="E243" s="42">
        <v>0</v>
      </c>
      <c r="F243" s="42">
        <v>0</v>
      </c>
      <c r="G243" s="42">
        <v>0</v>
      </c>
      <c r="H243" s="42">
        <v>0</v>
      </c>
      <c r="I243" s="42">
        <v>0</v>
      </c>
      <c r="J243" s="42">
        <v>0</v>
      </c>
      <c r="K243" s="42">
        <v>0</v>
      </c>
      <c r="L243" s="42">
        <v>0</v>
      </c>
      <c r="M243" s="150">
        <f t="shared" si="4"/>
        <v>0</v>
      </c>
      <c r="N243" s="45" t="s">
        <v>31</v>
      </c>
      <c r="O243" s="45" t="s">
        <v>684</v>
      </c>
      <c r="P243" s="289" t="s">
        <v>260</v>
      </c>
      <c r="Q243" s="290"/>
      <c r="R243" s="290"/>
      <c r="S243" s="290"/>
      <c r="T243" s="290"/>
      <c r="U243" s="290"/>
      <c r="V243" s="290"/>
      <c r="W243" s="290"/>
      <c r="X243" s="290"/>
      <c r="Y243" s="290"/>
      <c r="Z243" s="290"/>
      <c r="AA243" s="290"/>
      <c r="AB243" s="290"/>
      <c r="AC243" s="290"/>
      <c r="AD243" s="291"/>
    </row>
    <row r="244" spans="1:30" ht="29.5" customHeight="1">
      <c r="A244" s="9"/>
      <c r="B244" s="9"/>
      <c r="C244" s="9"/>
      <c r="D244" s="93" t="s">
        <v>493</v>
      </c>
      <c r="E244" s="42">
        <v>0</v>
      </c>
      <c r="F244" s="42">
        <v>0</v>
      </c>
      <c r="G244" s="42">
        <v>0</v>
      </c>
      <c r="H244" s="42">
        <v>0</v>
      </c>
      <c r="I244" s="42">
        <v>0</v>
      </c>
      <c r="J244" s="42">
        <v>0</v>
      </c>
      <c r="K244" s="42">
        <v>0</v>
      </c>
      <c r="L244" s="42">
        <v>0</v>
      </c>
      <c r="M244" s="150">
        <f t="shared" si="4"/>
        <v>0</v>
      </c>
      <c r="N244" s="45" t="s">
        <v>32</v>
      </c>
      <c r="O244" s="45" t="s">
        <v>685</v>
      </c>
      <c r="P244" s="289" t="s">
        <v>261</v>
      </c>
      <c r="Q244" s="290"/>
      <c r="R244" s="290"/>
      <c r="S244" s="290"/>
      <c r="T244" s="290"/>
      <c r="U244" s="290"/>
      <c r="V244" s="290"/>
      <c r="W244" s="290"/>
      <c r="X244" s="290"/>
      <c r="Y244" s="290"/>
      <c r="Z244" s="290"/>
      <c r="AA244" s="290"/>
      <c r="AB244" s="290"/>
      <c r="AC244" s="290"/>
      <c r="AD244" s="291"/>
    </row>
    <row r="245" spans="1:30" ht="33.5" customHeight="1">
      <c r="A245" s="9"/>
      <c r="B245" s="9"/>
      <c r="C245" s="9"/>
      <c r="D245" s="93" t="s">
        <v>494</v>
      </c>
      <c r="E245" s="42">
        <v>0</v>
      </c>
      <c r="F245" s="42">
        <v>0</v>
      </c>
      <c r="G245" s="42">
        <v>0</v>
      </c>
      <c r="H245" s="42">
        <v>0</v>
      </c>
      <c r="I245" s="42">
        <v>0</v>
      </c>
      <c r="J245" s="42">
        <v>0</v>
      </c>
      <c r="K245" s="42">
        <v>0</v>
      </c>
      <c r="L245" s="42">
        <v>0</v>
      </c>
      <c r="M245" s="150">
        <f t="shared" si="4"/>
        <v>0</v>
      </c>
      <c r="N245" s="45" t="s">
        <v>33</v>
      </c>
      <c r="O245" s="45" t="s">
        <v>686</v>
      </c>
      <c r="P245" s="289" t="s">
        <v>262</v>
      </c>
      <c r="Q245" s="290"/>
      <c r="R245" s="290"/>
      <c r="S245" s="290"/>
      <c r="T245" s="290"/>
      <c r="U245" s="290"/>
      <c r="V245" s="290"/>
      <c r="W245" s="290"/>
      <c r="X245" s="290"/>
      <c r="Y245" s="290"/>
      <c r="Z245" s="290"/>
      <c r="AA245" s="290"/>
      <c r="AB245" s="290"/>
      <c r="AC245" s="290"/>
      <c r="AD245" s="291"/>
    </row>
    <row r="246" spans="1:30" ht="16.5" customHeight="1">
      <c r="A246" s="9"/>
      <c r="B246" s="9"/>
      <c r="C246" s="9"/>
      <c r="D246" s="93" t="s">
        <v>496</v>
      </c>
      <c r="E246" s="42">
        <v>0</v>
      </c>
      <c r="F246" s="42">
        <v>0</v>
      </c>
      <c r="G246" s="42">
        <v>0</v>
      </c>
      <c r="H246" s="42">
        <v>0</v>
      </c>
      <c r="I246" s="42">
        <v>0</v>
      </c>
      <c r="J246" s="42">
        <v>0</v>
      </c>
      <c r="K246" s="42">
        <v>0</v>
      </c>
      <c r="L246" s="42">
        <v>0</v>
      </c>
      <c r="M246" s="150">
        <f t="shared" si="4"/>
        <v>0</v>
      </c>
      <c r="N246" s="45" t="s">
        <v>34</v>
      </c>
      <c r="O246" s="45" t="s">
        <v>687</v>
      </c>
      <c r="P246" s="14"/>
    </row>
    <row r="247" spans="1:30" ht="16.5" customHeight="1">
      <c r="A247" s="9"/>
      <c r="B247" s="9"/>
      <c r="C247" s="9"/>
      <c r="D247" s="93" t="s">
        <v>495</v>
      </c>
      <c r="E247" s="42">
        <v>0</v>
      </c>
      <c r="F247" s="42">
        <v>0</v>
      </c>
      <c r="G247" s="42">
        <v>0</v>
      </c>
      <c r="H247" s="42">
        <v>0</v>
      </c>
      <c r="I247" s="42">
        <v>0</v>
      </c>
      <c r="J247" s="42">
        <v>0</v>
      </c>
      <c r="K247" s="42">
        <v>0</v>
      </c>
      <c r="L247" s="42">
        <v>0</v>
      </c>
      <c r="M247" s="150">
        <f t="shared" si="4"/>
        <v>0</v>
      </c>
      <c r="N247" s="45" t="s">
        <v>35</v>
      </c>
      <c r="O247" s="45" t="s">
        <v>264</v>
      </c>
      <c r="P247" s="289" t="s">
        <v>265</v>
      </c>
      <c r="Q247" s="290"/>
      <c r="R247" s="290"/>
      <c r="S247" s="290"/>
      <c r="T247" s="290"/>
      <c r="U247" s="290"/>
      <c r="V247" s="290"/>
      <c r="W247" s="290"/>
      <c r="X247" s="290"/>
      <c r="Y247" s="290"/>
      <c r="Z247" s="290"/>
      <c r="AA247" s="290"/>
      <c r="AB247" s="290"/>
      <c r="AC247" s="290"/>
      <c r="AD247" s="291"/>
    </row>
    <row r="248" spans="1:30" ht="33" customHeight="1">
      <c r="A248" s="9"/>
      <c r="B248" s="9"/>
      <c r="C248" s="9"/>
      <c r="D248" s="93" t="s">
        <v>698</v>
      </c>
      <c r="E248" s="42">
        <v>0</v>
      </c>
      <c r="F248" s="42">
        <v>0</v>
      </c>
      <c r="G248" s="42">
        <v>0</v>
      </c>
      <c r="H248" s="42">
        <v>0</v>
      </c>
      <c r="I248" s="42">
        <v>0</v>
      </c>
      <c r="J248" s="42">
        <v>0</v>
      </c>
      <c r="K248" s="42">
        <v>0</v>
      </c>
      <c r="L248" s="42">
        <v>0</v>
      </c>
      <c r="M248" s="150">
        <f t="shared" si="4"/>
        <v>0</v>
      </c>
      <c r="N248" s="45" t="s">
        <v>36</v>
      </c>
      <c r="O248" s="45" t="s">
        <v>266</v>
      </c>
      <c r="P248" s="289" t="s">
        <v>267</v>
      </c>
      <c r="Q248" s="290"/>
      <c r="R248" s="290"/>
      <c r="S248" s="290"/>
      <c r="T248" s="290"/>
      <c r="U248" s="290"/>
      <c r="V248" s="290"/>
      <c r="W248" s="290"/>
      <c r="X248" s="290"/>
      <c r="Y248" s="290"/>
      <c r="Z248" s="290"/>
      <c r="AA248" s="290"/>
      <c r="AB248" s="290"/>
      <c r="AC248" s="290"/>
      <c r="AD248" s="291"/>
    </row>
    <row r="249" spans="1:30" ht="16.5" customHeight="1">
      <c r="A249" s="9"/>
      <c r="B249" s="9"/>
      <c r="C249" s="9"/>
      <c r="D249" s="93" t="s">
        <v>498</v>
      </c>
      <c r="E249" s="42">
        <v>0</v>
      </c>
      <c r="F249" s="42">
        <v>0</v>
      </c>
      <c r="G249" s="42">
        <v>0</v>
      </c>
      <c r="H249" s="42">
        <v>0</v>
      </c>
      <c r="I249" s="42">
        <v>0</v>
      </c>
      <c r="J249" s="42">
        <v>0</v>
      </c>
      <c r="K249" s="42">
        <v>0</v>
      </c>
      <c r="L249" s="42">
        <v>0</v>
      </c>
      <c r="M249" s="150">
        <f t="shared" si="4"/>
        <v>0</v>
      </c>
      <c r="N249" s="45" t="s">
        <v>37</v>
      </c>
      <c r="O249" s="45" t="s">
        <v>688</v>
      </c>
      <c r="P249" s="14"/>
    </row>
    <row r="250" spans="1:30" ht="16.5" customHeight="1">
      <c r="A250" s="9"/>
      <c r="B250" s="9"/>
      <c r="C250" s="9"/>
      <c r="D250" s="93" t="s">
        <v>499</v>
      </c>
      <c r="E250" s="42">
        <v>0</v>
      </c>
      <c r="F250" s="42">
        <v>0</v>
      </c>
      <c r="G250" s="42">
        <v>0</v>
      </c>
      <c r="H250" s="42">
        <v>0</v>
      </c>
      <c r="I250" s="42">
        <v>0</v>
      </c>
      <c r="J250" s="42">
        <v>0</v>
      </c>
      <c r="K250" s="42">
        <v>0</v>
      </c>
      <c r="L250" s="42">
        <v>0</v>
      </c>
      <c r="M250" s="150">
        <f t="shared" si="4"/>
        <v>0</v>
      </c>
      <c r="N250" s="45" t="s">
        <v>38</v>
      </c>
      <c r="O250" s="45" t="s">
        <v>689</v>
      </c>
      <c r="P250" s="14"/>
    </row>
    <row r="251" spans="1:30" ht="36" customHeight="1">
      <c r="A251" s="9"/>
      <c r="B251" s="9"/>
      <c r="C251" s="9"/>
      <c r="D251" s="93" t="s">
        <v>500</v>
      </c>
      <c r="E251" s="42">
        <v>0</v>
      </c>
      <c r="F251" s="42">
        <v>0</v>
      </c>
      <c r="G251" s="42">
        <v>0</v>
      </c>
      <c r="H251" s="42">
        <v>0</v>
      </c>
      <c r="I251" s="42">
        <v>0</v>
      </c>
      <c r="J251" s="42">
        <v>0</v>
      </c>
      <c r="K251" s="42">
        <v>0</v>
      </c>
      <c r="L251" s="42">
        <v>0</v>
      </c>
      <c r="M251" s="150">
        <f t="shared" si="4"/>
        <v>0</v>
      </c>
      <c r="N251" s="45" t="s">
        <v>39</v>
      </c>
      <c r="O251" s="45" t="s">
        <v>690</v>
      </c>
      <c r="P251" s="289" t="s">
        <v>268</v>
      </c>
      <c r="Q251" s="290"/>
      <c r="R251" s="290"/>
      <c r="S251" s="290"/>
      <c r="T251" s="290"/>
      <c r="U251" s="290"/>
      <c r="V251" s="290"/>
      <c r="W251" s="290"/>
      <c r="X251" s="290"/>
      <c r="Y251" s="290"/>
      <c r="Z251" s="290"/>
      <c r="AA251" s="290"/>
      <c r="AB251" s="290"/>
      <c r="AC251" s="290"/>
      <c r="AD251" s="291"/>
    </row>
    <row r="252" spans="1:30" ht="30" customHeight="1">
      <c r="A252" s="9"/>
      <c r="B252" s="9"/>
      <c r="C252" s="9"/>
      <c r="D252" s="93" t="s">
        <v>501</v>
      </c>
      <c r="E252" s="42">
        <v>0</v>
      </c>
      <c r="F252" s="42">
        <v>0</v>
      </c>
      <c r="G252" s="42">
        <v>0</v>
      </c>
      <c r="H252" s="42">
        <v>0</v>
      </c>
      <c r="I252" s="42">
        <v>0</v>
      </c>
      <c r="J252" s="42">
        <v>0</v>
      </c>
      <c r="K252" s="42">
        <v>0</v>
      </c>
      <c r="L252" s="42">
        <v>0</v>
      </c>
      <c r="M252" s="150">
        <f t="shared" si="4"/>
        <v>0</v>
      </c>
      <c r="N252" s="45" t="s">
        <v>40</v>
      </c>
      <c r="O252" s="45" t="s">
        <v>691</v>
      </c>
      <c r="P252" s="289" t="s">
        <v>269</v>
      </c>
      <c r="Q252" s="290"/>
      <c r="R252" s="290"/>
      <c r="S252" s="290"/>
      <c r="T252" s="290"/>
      <c r="U252" s="290"/>
      <c r="V252" s="290"/>
      <c r="W252" s="290"/>
      <c r="X252" s="290"/>
      <c r="Y252" s="290"/>
      <c r="Z252" s="290"/>
      <c r="AA252" s="290"/>
      <c r="AB252" s="290"/>
      <c r="AC252" s="290"/>
      <c r="AD252" s="291"/>
    </row>
    <row r="253" spans="1:30" ht="16.5" customHeight="1">
      <c r="A253" s="9"/>
      <c r="B253" s="9"/>
      <c r="C253" s="9"/>
      <c r="D253" s="93" t="s">
        <v>502</v>
      </c>
      <c r="E253" s="42">
        <v>0</v>
      </c>
      <c r="F253" s="42">
        <v>0</v>
      </c>
      <c r="G253" s="42">
        <v>0</v>
      </c>
      <c r="H253" s="42">
        <v>0</v>
      </c>
      <c r="I253" s="42">
        <v>0</v>
      </c>
      <c r="J253" s="42">
        <v>0</v>
      </c>
      <c r="K253" s="42">
        <v>0</v>
      </c>
      <c r="L253" s="42">
        <v>0</v>
      </c>
      <c r="M253" s="150">
        <f t="shared" si="4"/>
        <v>0</v>
      </c>
      <c r="N253" s="45" t="s">
        <v>41</v>
      </c>
      <c r="O253" s="45" t="s">
        <v>692</v>
      </c>
      <c r="P253" s="289" t="s">
        <v>270</v>
      </c>
      <c r="Q253" s="290"/>
      <c r="R253" s="290"/>
      <c r="S253" s="290"/>
      <c r="T253" s="290"/>
      <c r="U253" s="290"/>
      <c r="V253" s="290"/>
      <c r="W253" s="290"/>
      <c r="X253" s="290"/>
      <c r="Y253" s="290"/>
      <c r="Z253" s="290"/>
      <c r="AA253" s="290"/>
      <c r="AB253" s="290"/>
      <c r="AC253" s="290"/>
      <c r="AD253" s="291"/>
    </row>
    <row r="254" spans="1:30" ht="31" customHeight="1">
      <c r="A254" s="9"/>
      <c r="B254" s="9"/>
      <c r="C254" s="9"/>
      <c r="D254" s="141" t="s">
        <v>503</v>
      </c>
      <c r="E254" s="42">
        <v>0</v>
      </c>
      <c r="F254" s="42">
        <v>0</v>
      </c>
      <c r="G254" s="42">
        <v>0</v>
      </c>
      <c r="H254" s="42">
        <v>0</v>
      </c>
      <c r="I254" s="42">
        <v>0</v>
      </c>
      <c r="J254" s="42">
        <v>0</v>
      </c>
      <c r="K254" s="42">
        <v>0</v>
      </c>
      <c r="L254" s="42">
        <v>0</v>
      </c>
      <c r="M254" s="150">
        <f t="shared" si="4"/>
        <v>0</v>
      </c>
      <c r="N254" s="45" t="s">
        <v>42</v>
      </c>
      <c r="O254" s="45" t="s">
        <v>693</v>
      </c>
      <c r="P254" s="289" t="s">
        <v>271</v>
      </c>
      <c r="Q254" s="290"/>
      <c r="R254" s="290"/>
      <c r="S254" s="290"/>
      <c r="T254" s="290"/>
      <c r="U254" s="290"/>
      <c r="V254" s="290"/>
      <c r="W254" s="290"/>
      <c r="X254" s="290"/>
      <c r="Y254" s="290"/>
      <c r="Z254" s="290"/>
      <c r="AA254" s="290"/>
      <c r="AB254" s="290"/>
      <c r="AC254" s="290"/>
      <c r="AD254" s="291"/>
    </row>
    <row r="255" spans="1:30" ht="33.5" customHeight="1">
      <c r="A255" s="9"/>
      <c r="B255" s="9"/>
      <c r="C255" s="9"/>
      <c r="D255" s="93" t="s">
        <v>504</v>
      </c>
      <c r="E255" s="42">
        <v>0</v>
      </c>
      <c r="F255" s="42">
        <v>0</v>
      </c>
      <c r="G255" s="42">
        <v>0</v>
      </c>
      <c r="H255" s="42">
        <v>0</v>
      </c>
      <c r="I255" s="42">
        <v>0</v>
      </c>
      <c r="J255" s="42">
        <v>0</v>
      </c>
      <c r="K255" s="42">
        <v>0</v>
      </c>
      <c r="L255" s="42">
        <v>0</v>
      </c>
      <c r="M255" s="150">
        <f t="shared" si="4"/>
        <v>0</v>
      </c>
      <c r="N255" s="45" t="s">
        <v>43</v>
      </c>
      <c r="O255" s="45" t="s">
        <v>272</v>
      </c>
      <c r="P255" s="289" t="s">
        <v>273</v>
      </c>
      <c r="Q255" s="290"/>
      <c r="R255" s="290"/>
      <c r="S255" s="290"/>
      <c r="T255" s="290"/>
      <c r="U255" s="290"/>
      <c r="V255" s="290"/>
      <c r="W255" s="290"/>
      <c r="X255" s="290"/>
      <c r="Y255" s="290"/>
      <c r="Z255" s="290"/>
      <c r="AA255" s="290"/>
      <c r="AB255" s="290"/>
      <c r="AC255" s="290"/>
      <c r="AD255" s="291"/>
    </row>
    <row r="256" spans="1:30" ht="16.5" customHeight="1">
      <c r="A256" s="9"/>
      <c r="B256" s="9"/>
      <c r="C256" s="9"/>
      <c r="D256" s="93" t="s">
        <v>505</v>
      </c>
      <c r="E256" s="42">
        <v>0</v>
      </c>
      <c r="F256" s="42">
        <v>0</v>
      </c>
      <c r="G256" s="42">
        <v>0</v>
      </c>
      <c r="H256" s="42">
        <v>0</v>
      </c>
      <c r="I256" s="42">
        <v>0</v>
      </c>
      <c r="J256" s="42">
        <v>0</v>
      </c>
      <c r="K256" s="42">
        <v>0</v>
      </c>
      <c r="L256" s="42">
        <v>0</v>
      </c>
      <c r="M256" s="150">
        <f t="shared" si="4"/>
        <v>0</v>
      </c>
      <c r="N256" s="45" t="s">
        <v>44</v>
      </c>
      <c r="O256" s="45" t="s">
        <v>274</v>
      </c>
      <c r="P256" s="14"/>
    </row>
    <row r="257" spans="1:30" ht="30.5" customHeight="1">
      <c r="A257" s="9"/>
      <c r="B257" s="9"/>
      <c r="C257" s="9"/>
      <c r="D257" s="93" t="s">
        <v>506</v>
      </c>
      <c r="E257" s="42">
        <v>0</v>
      </c>
      <c r="F257" s="42">
        <v>0</v>
      </c>
      <c r="G257" s="42">
        <v>0</v>
      </c>
      <c r="H257" s="42">
        <v>0</v>
      </c>
      <c r="I257" s="42">
        <v>0</v>
      </c>
      <c r="J257" s="42">
        <v>0</v>
      </c>
      <c r="K257" s="42">
        <v>0</v>
      </c>
      <c r="L257" s="42">
        <v>0</v>
      </c>
      <c r="M257" s="150">
        <f>SUM(E257:L257)</f>
        <v>0</v>
      </c>
      <c r="N257" s="45" t="s">
        <v>45</v>
      </c>
      <c r="O257" s="45" t="s">
        <v>694</v>
      </c>
      <c r="P257" s="289" t="s">
        <v>275</v>
      </c>
      <c r="Q257" s="290"/>
      <c r="R257" s="290"/>
      <c r="S257" s="290"/>
      <c r="T257" s="290"/>
      <c r="U257" s="290"/>
      <c r="V257" s="290"/>
      <c r="W257" s="290"/>
      <c r="X257" s="290"/>
      <c r="Y257" s="290"/>
      <c r="Z257" s="290"/>
      <c r="AA257" s="290"/>
      <c r="AB257" s="290"/>
      <c r="AC257" s="290"/>
      <c r="AD257" s="291"/>
    </row>
    <row r="258" spans="1:30" ht="65" customHeight="1">
      <c r="A258" s="9"/>
      <c r="B258" s="9"/>
      <c r="C258" s="9"/>
      <c r="D258" s="93" t="s">
        <v>507</v>
      </c>
      <c r="E258" s="42">
        <v>0</v>
      </c>
      <c r="F258" s="42">
        <v>0</v>
      </c>
      <c r="G258" s="42">
        <v>0</v>
      </c>
      <c r="H258" s="42">
        <v>0</v>
      </c>
      <c r="I258" s="42">
        <v>0</v>
      </c>
      <c r="J258" s="42">
        <v>0</v>
      </c>
      <c r="K258" s="42">
        <v>0</v>
      </c>
      <c r="L258" s="42">
        <v>0</v>
      </c>
      <c r="M258" s="150">
        <f t="shared" si="4"/>
        <v>0</v>
      </c>
      <c r="N258" s="45" t="s">
        <v>46</v>
      </c>
      <c r="O258" s="45" t="s">
        <v>695</v>
      </c>
      <c r="P258" s="289" t="s">
        <v>276</v>
      </c>
      <c r="Q258" s="290"/>
      <c r="R258" s="290"/>
      <c r="S258" s="290"/>
      <c r="T258" s="290"/>
      <c r="U258" s="290"/>
      <c r="V258" s="290"/>
      <c r="W258" s="290"/>
      <c r="X258" s="290"/>
      <c r="Y258" s="290"/>
      <c r="Z258" s="290"/>
      <c r="AA258" s="290"/>
      <c r="AB258" s="290"/>
      <c r="AC258" s="290"/>
      <c r="AD258" s="291"/>
    </row>
    <row r="259" spans="1:30" ht="16.5" customHeight="1">
      <c r="A259" s="9"/>
      <c r="B259" s="9"/>
      <c r="C259" s="9"/>
      <c r="D259" s="93" t="s">
        <v>699</v>
      </c>
      <c r="E259" s="42">
        <v>0</v>
      </c>
      <c r="F259" s="42">
        <v>0</v>
      </c>
      <c r="G259" s="42">
        <v>0</v>
      </c>
      <c r="H259" s="42">
        <v>0</v>
      </c>
      <c r="I259" s="42">
        <v>0</v>
      </c>
      <c r="J259" s="42">
        <v>0</v>
      </c>
      <c r="K259" s="42">
        <v>0</v>
      </c>
      <c r="L259" s="42">
        <v>0</v>
      </c>
      <c r="M259" s="150">
        <f t="shared" si="4"/>
        <v>0</v>
      </c>
      <c r="N259" s="45" t="s">
        <v>47</v>
      </c>
      <c r="O259" s="45" t="s">
        <v>696</v>
      </c>
      <c r="P259" s="289" t="s">
        <v>277</v>
      </c>
      <c r="Q259" s="290"/>
      <c r="R259" s="290"/>
      <c r="S259" s="290"/>
      <c r="T259" s="290"/>
      <c r="U259" s="290"/>
      <c r="V259" s="290"/>
      <c r="W259" s="290"/>
      <c r="X259" s="290"/>
      <c r="Y259" s="290"/>
      <c r="Z259" s="290"/>
      <c r="AA259" s="290"/>
      <c r="AB259" s="290"/>
      <c r="AC259" s="290"/>
      <c r="AD259" s="291"/>
    </row>
    <row r="260" spans="1:30" ht="80.5" customHeight="1">
      <c r="A260" s="9"/>
      <c r="B260" s="9"/>
      <c r="C260" s="9"/>
      <c r="D260" s="93" t="s">
        <v>509</v>
      </c>
      <c r="E260" s="42">
        <v>0</v>
      </c>
      <c r="F260" s="42">
        <v>0</v>
      </c>
      <c r="G260" s="42">
        <v>0</v>
      </c>
      <c r="H260" s="42">
        <v>0</v>
      </c>
      <c r="I260" s="42">
        <v>0</v>
      </c>
      <c r="J260" s="42">
        <v>0</v>
      </c>
      <c r="K260" s="42">
        <v>0</v>
      </c>
      <c r="L260" s="42">
        <v>0</v>
      </c>
      <c r="M260" s="150">
        <f t="shared" si="4"/>
        <v>0</v>
      </c>
      <c r="N260" s="45" t="s">
        <v>48</v>
      </c>
      <c r="O260" s="45" t="s">
        <v>278</v>
      </c>
      <c r="P260" s="289" t="s">
        <v>279</v>
      </c>
      <c r="Q260" s="290"/>
      <c r="R260" s="290"/>
      <c r="S260" s="290"/>
      <c r="T260" s="290"/>
      <c r="U260" s="290"/>
      <c r="V260" s="290"/>
      <c r="W260" s="290"/>
      <c r="X260" s="290"/>
      <c r="Y260" s="290"/>
      <c r="Z260" s="290"/>
      <c r="AA260" s="290"/>
      <c r="AB260" s="290"/>
      <c r="AC260" s="290"/>
      <c r="AD260" s="291"/>
    </row>
    <row r="261" spans="1:30" ht="16.5" customHeight="1" thickBot="1">
      <c r="A261" s="9"/>
      <c r="B261" s="9"/>
      <c r="C261" s="9"/>
      <c r="D261" s="158" t="s">
        <v>281</v>
      </c>
      <c r="E261" s="151">
        <f>E233+SUM(E235:E260)</f>
        <v>89322639</v>
      </c>
      <c r="F261" s="151">
        <f t="shared" ref="F261:M261" si="5">F233+SUM(F235:F260)</f>
        <v>0</v>
      </c>
      <c r="G261" s="151">
        <f t="shared" si="5"/>
        <v>0</v>
      </c>
      <c r="H261" s="151">
        <f t="shared" si="5"/>
        <v>0</v>
      </c>
      <c r="I261" s="151">
        <f t="shared" si="5"/>
        <v>0</v>
      </c>
      <c r="J261" s="151">
        <f t="shared" si="5"/>
        <v>0</v>
      </c>
      <c r="K261" s="151">
        <f t="shared" si="5"/>
        <v>0</v>
      </c>
      <c r="L261" s="151">
        <f t="shared" si="5"/>
        <v>0</v>
      </c>
      <c r="M261" s="152">
        <f t="shared" si="5"/>
        <v>89322639</v>
      </c>
      <c r="N261" s="45" t="s">
        <v>10</v>
      </c>
      <c r="O261" s="45" t="s">
        <v>280</v>
      </c>
    </row>
    <row r="262" spans="1:30" ht="16.5" customHeight="1" thickBot="1">
      <c r="A262" s="9"/>
      <c r="B262" s="9"/>
      <c r="C262" s="9"/>
      <c r="L262" s="7"/>
      <c r="M262" s="7"/>
      <c r="N262" s="7"/>
    </row>
    <row r="263" spans="1:30" ht="16" thickBot="1">
      <c r="A263" s="9"/>
      <c r="B263" s="9"/>
      <c r="C263" s="9"/>
      <c r="D263" s="303" t="s">
        <v>284</v>
      </c>
      <c r="E263" s="304" t="s">
        <v>102</v>
      </c>
      <c r="F263" s="304"/>
      <c r="G263" s="304"/>
      <c r="H263" s="304"/>
      <c r="I263" s="304"/>
      <c r="J263" s="304"/>
      <c r="K263" s="304"/>
      <c r="L263" s="304"/>
      <c r="M263" s="305"/>
      <c r="N263" s="45" t="s">
        <v>282</v>
      </c>
      <c r="O263" s="45" t="s">
        <v>283</v>
      </c>
    </row>
    <row r="264" spans="1:30" ht="16.5" customHeight="1">
      <c r="A264" s="9"/>
      <c r="B264" s="9"/>
      <c r="C264" s="9"/>
      <c r="D264" s="165" t="s">
        <v>286</v>
      </c>
      <c r="E264" s="166" t="str">
        <f>+E232</f>
        <v>Nord Stream AG (Stateless Permanent Establishment Denmark)</v>
      </c>
      <c r="F264" s="166">
        <f t="shared" ref="F264:L264" si="6">+F232</f>
        <v>0</v>
      </c>
      <c r="G264" s="166">
        <f t="shared" si="6"/>
        <v>0</v>
      </c>
      <c r="H264" s="166">
        <f t="shared" si="6"/>
        <v>0</v>
      </c>
      <c r="I264" s="166">
        <f t="shared" si="6"/>
        <v>0</v>
      </c>
      <c r="J264" s="166">
        <f t="shared" si="6"/>
        <v>0</v>
      </c>
      <c r="K264" s="166">
        <f t="shared" si="6"/>
        <v>0</v>
      </c>
      <c r="L264" s="166">
        <f t="shared" si="6"/>
        <v>0</v>
      </c>
      <c r="M264" s="167" t="str">
        <f>+M232</f>
        <v>Total amount</v>
      </c>
      <c r="N264" s="45" t="s">
        <v>245</v>
      </c>
      <c r="O264" s="45" t="s">
        <v>285</v>
      </c>
    </row>
    <row r="265" spans="1:30" ht="48" customHeight="1">
      <c r="A265" s="9"/>
      <c r="B265" s="9"/>
      <c r="C265" s="9"/>
      <c r="D265" s="161" t="s">
        <v>700</v>
      </c>
      <c r="E265" s="42">
        <v>85865874</v>
      </c>
      <c r="F265" s="42">
        <v>0</v>
      </c>
      <c r="G265" s="42">
        <v>0</v>
      </c>
      <c r="H265" s="42">
        <v>0</v>
      </c>
      <c r="I265" s="42">
        <v>0</v>
      </c>
      <c r="J265" s="42">
        <v>0</v>
      </c>
      <c r="K265" s="42">
        <v>0</v>
      </c>
      <c r="L265" s="42">
        <v>0</v>
      </c>
      <c r="M265" s="150">
        <f>SUM(E265:L265)</f>
        <v>85865874</v>
      </c>
      <c r="N265" s="45" t="s">
        <v>7</v>
      </c>
      <c r="O265" s="45" t="s">
        <v>287</v>
      </c>
      <c r="P265" s="289" t="s">
        <v>288</v>
      </c>
      <c r="Q265" s="290"/>
      <c r="R265" s="290"/>
      <c r="S265" s="290"/>
      <c r="T265" s="290"/>
      <c r="U265" s="290"/>
      <c r="V265" s="290"/>
      <c r="W265" s="290"/>
      <c r="X265" s="290"/>
      <c r="Y265" s="290"/>
      <c r="Z265" s="290"/>
      <c r="AA265" s="290"/>
      <c r="AB265" s="290"/>
      <c r="AC265" s="290"/>
      <c r="AD265" s="291"/>
    </row>
    <row r="266" spans="1:30" ht="16.5" customHeight="1">
      <c r="A266" s="9"/>
      <c r="B266" s="9"/>
      <c r="C266" s="9"/>
      <c r="D266" s="161" t="s">
        <v>710</v>
      </c>
      <c r="E266" s="42">
        <v>0</v>
      </c>
      <c r="F266" s="42">
        <v>0</v>
      </c>
      <c r="G266" s="42">
        <v>0</v>
      </c>
      <c r="H266" s="42">
        <v>0</v>
      </c>
      <c r="I266" s="42">
        <v>0</v>
      </c>
      <c r="J266" s="42">
        <v>0</v>
      </c>
      <c r="K266" s="42">
        <v>0</v>
      </c>
      <c r="L266" s="42">
        <v>0</v>
      </c>
      <c r="M266" s="150"/>
      <c r="N266" s="45" t="s">
        <v>289</v>
      </c>
      <c r="O266" s="45" t="s">
        <v>290</v>
      </c>
    </row>
    <row r="267" spans="1:30" ht="16.5" customHeight="1">
      <c r="A267" s="9"/>
      <c r="B267" s="9"/>
      <c r="C267" s="9"/>
      <c r="D267" s="161" t="s">
        <v>701</v>
      </c>
      <c r="E267" s="42" t="s">
        <v>714</v>
      </c>
      <c r="F267" s="42" t="s">
        <v>714</v>
      </c>
      <c r="G267" s="42" t="s">
        <v>714</v>
      </c>
      <c r="H267" s="42" t="s">
        <v>714</v>
      </c>
      <c r="I267" s="42" t="s">
        <v>714</v>
      </c>
      <c r="J267" s="42" t="s">
        <v>714</v>
      </c>
      <c r="K267" s="42" t="s">
        <v>714</v>
      </c>
      <c r="L267" s="42" t="s">
        <v>714</v>
      </c>
      <c r="M267" s="150"/>
      <c r="N267" s="45" t="s">
        <v>291</v>
      </c>
      <c r="O267" s="45" t="s">
        <v>292</v>
      </c>
    </row>
    <row r="268" spans="1:30" ht="16.5" customHeight="1">
      <c r="A268" s="9"/>
      <c r="B268" s="9"/>
      <c r="C268" s="9"/>
      <c r="D268" s="161" t="s">
        <v>702</v>
      </c>
      <c r="E268" s="42" t="s">
        <v>716</v>
      </c>
      <c r="F268" s="42" t="s">
        <v>716</v>
      </c>
      <c r="G268" s="42" t="s">
        <v>716</v>
      </c>
      <c r="H268" s="42" t="s">
        <v>716</v>
      </c>
      <c r="I268" s="42" t="s">
        <v>716</v>
      </c>
      <c r="J268" s="42" t="s">
        <v>716</v>
      </c>
      <c r="K268" s="42" t="s">
        <v>716</v>
      </c>
      <c r="L268" s="42" t="s">
        <v>716</v>
      </c>
      <c r="M268" s="150"/>
      <c r="N268" s="45" t="s">
        <v>293</v>
      </c>
      <c r="O268" s="45" t="s">
        <v>294</v>
      </c>
    </row>
    <row r="269" spans="1:30" ht="16.5" customHeight="1">
      <c r="A269" s="9"/>
      <c r="B269" s="9"/>
      <c r="C269" s="9"/>
      <c r="D269" s="161" t="s">
        <v>703</v>
      </c>
      <c r="E269" s="42">
        <v>0</v>
      </c>
      <c r="F269" s="42">
        <v>0</v>
      </c>
      <c r="G269" s="42">
        <v>0</v>
      </c>
      <c r="H269" s="42">
        <v>0</v>
      </c>
      <c r="I269" s="42">
        <v>0</v>
      </c>
      <c r="J269" s="42">
        <v>0</v>
      </c>
      <c r="K269" s="42">
        <v>0</v>
      </c>
      <c r="L269" s="42">
        <v>0</v>
      </c>
      <c r="M269" s="150">
        <f>SUM(E269:L269)</f>
        <v>0</v>
      </c>
      <c r="N269" s="45" t="s">
        <v>295</v>
      </c>
      <c r="O269" s="45" t="s">
        <v>296</v>
      </c>
    </row>
    <row r="270" spans="1:30" ht="16.5" customHeight="1">
      <c r="A270" s="9"/>
      <c r="B270" s="9"/>
      <c r="C270" s="9"/>
      <c r="D270" s="161" t="s">
        <v>704</v>
      </c>
      <c r="E270" s="42">
        <v>0</v>
      </c>
      <c r="F270" s="42">
        <v>0</v>
      </c>
      <c r="G270" s="42">
        <v>0</v>
      </c>
      <c r="H270" s="42">
        <v>0</v>
      </c>
      <c r="I270" s="42">
        <v>0</v>
      </c>
      <c r="J270" s="42">
        <v>0</v>
      </c>
      <c r="K270" s="42">
        <v>0</v>
      </c>
      <c r="L270" s="42">
        <v>0</v>
      </c>
      <c r="M270" s="150">
        <f>SUM(E270:L270)</f>
        <v>0</v>
      </c>
      <c r="N270" s="45" t="s">
        <v>297</v>
      </c>
      <c r="O270" s="45" t="s">
        <v>298</v>
      </c>
    </row>
    <row r="271" spans="1:30" ht="16.5" customHeight="1" thickBot="1">
      <c r="A271" s="9"/>
      <c r="B271" s="9"/>
      <c r="C271" s="9"/>
      <c r="D271" s="162" t="s">
        <v>705</v>
      </c>
      <c r="E271" s="163">
        <f>+E265+E269+E270</f>
        <v>85865874</v>
      </c>
      <c r="F271" s="163">
        <f t="shared" ref="F271:M271" si="7">+F265+F269+F270</f>
        <v>0</v>
      </c>
      <c r="G271" s="163">
        <f t="shared" si="7"/>
        <v>0</v>
      </c>
      <c r="H271" s="163">
        <f t="shared" si="7"/>
        <v>0</v>
      </c>
      <c r="I271" s="163">
        <f t="shared" si="7"/>
        <v>0</v>
      </c>
      <c r="J271" s="163">
        <f t="shared" si="7"/>
        <v>0</v>
      </c>
      <c r="K271" s="163">
        <f t="shared" si="7"/>
        <v>0</v>
      </c>
      <c r="L271" s="163">
        <f t="shared" si="7"/>
        <v>0</v>
      </c>
      <c r="M271" s="163">
        <f t="shared" si="7"/>
        <v>85865874</v>
      </c>
      <c r="N271" s="45" t="s">
        <v>19</v>
      </c>
      <c r="O271" s="45" t="s">
        <v>299</v>
      </c>
    </row>
    <row r="272" spans="1:30" ht="16" thickBot="1">
      <c r="A272" s="9"/>
      <c r="B272" s="9"/>
      <c r="C272" s="9"/>
      <c r="D272" s="56"/>
      <c r="E272" s="56"/>
      <c r="F272" s="56"/>
      <c r="G272" s="56"/>
      <c r="H272" s="56"/>
      <c r="I272" s="56"/>
      <c r="J272" s="56"/>
      <c r="K272" s="56"/>
      <c r="L272" s="56"/>
      <c r="M272" s="56"/>
      <c r="N272" s="56"/>
    </row>
    <row r="273" spans="1:15" ht="16" thickBot="1">
      <c r="A273" s="9"/>
      <c r="B273" s="9"/>
      <c r="C273" s="9"/>
      <c r="D273" s="361" t="s">
        <v>706</v>
      </c>
      <c r="E273" s="362" t="s">
        <v>102</v>
      </c>
      <c r="F273" s="362"/>
      <c r="G273" s="362"/>
      <c r="H273" s="362"/>
      <c r="I273" s="362"/>
      <c r="J273" s="362"/>
      <c r="K273" s="362"/>
      <c r="L273" s="362"/>
      <c r="M273" s="363"/>
      <c r="N273" s="45" t="s">
        <v>300</v>
      </c>
      <c r="O273" s="45" t="s">
        <v>301</v>
      </c>
    </row>
    <row r="274" spans="1:15">
      <c r="A274" s="9"/>
      <c r="B274" s="9"/>
      <c r="C274" s="9"/>
      <c r="D274" s="168" t="s">
        <v>707</v>
      </c>
      <c r="E274" s="169" t="str">
        <f>+E264</f>
        <v>Nord Stream AG (Stateless Permanent Establishment Denmark)</v>
      </c>
      <c r="F274" s="169">
        <f t="shared" ref="F274:M274" si="8">+F264</f>
        <v>0</v>
      </c>
      <c r="G274" s="169">
        <f t="shared" si="8"/>
        <v>0</v>
      </c>
      <c r="H274" s="169">
        <f t="shared" si="8"/>
        <v>0</v>
      </c>
      <c r="I274" s="169">
        <f t="shared" si="8"/>
        <v>0</v>
      </c>
      <c r="J274" s="169">
        <f t="shared" si="8"/>
        <v>0</v>
      </c>
      <c r="K274" s="169">
        <f t="shared" si="8"/>
        <v>0</v>
      </c>
      <c r="L274" s="169">
        <f t="shared" si="8"/>
        <v>0</v>
      </c>
      <c r="M274" s="170" t="str">
        <f t="shared" si="8"/>
        <v>Total amount</v>
      </c>
      <c r="N274" s="45" t="s">
        <v>245</v>
      </c>
      <c r="O274" s="45" t="s">
        <v>302</v>
      </c>
    </row>
    <row r="275" spans="1:15">
      <c r="A275" s="9"/>
      <c r="B275" s="9"/>
      <c r="C275" s="9"/>
      <c r="D275" s="161" t="s">
        <v>708</v>
      </c>
      <c r="E275" s="42">
        <v>0</v>
      </c>
      <c r="F275" s="42">
        <v>0</v>
      </c>
      <c r="G275" s="42">
        <v>0</v>
      </c>
      <c r="H275" s="42">
        <v>0</v>
      </c>
      <c r="I275" s="42">
        <v>0</v>
      </c>
      <c r="J275" s="42">
        <v>0</v>
      </c>
      <c r="K275" s="42">
        <v>0</v>
      </c>
      <c r="L275" s="42">
        <v>0</v>
      </c>
      <c r="M275" s="150">
        <f>SUM(E275:L275)</f>
        <v>0</v>
      </c>
      <c r="N275" s="45" t="s">
        <v>289</v>
      </c>
      <c r="O275" s="45" t="s">
        <v>303</v>
      </c>
    </row>
    <row r="276" spans="1:15">
      <c r="A276" s="9"/>
      <c r="B276" s="9"/>
      <c r="C276" s="9"/>
      <c r="D276" s="161" t="s">
        <v>305</v>
      </c>
      <c r="E276" s="42">
        <v>0</v>
      </c>
      <c r="F276" s="42">
        <v>0</v>
      </c>
      <c r="G276" s="42">
        <v>0</v>
      </c>
      <c r="H276" s="42">
        <v>0</v>
      </c>
      <c r="I276" s="42">
        <v>0</v>
      </c>
      <c r="J276" s="42">
        <v>0</v>
      </c>
      <c r="K276" s="42">
        <v>0</v>
      </c>
      <c r="L276" s="42">
        <v>0</v>
      </c>
      <c r="M276" s="150">
        <f>SUM(E276:L276)</f>
        <v>0</v>
      </c>
      <c r="N276" s="45" t="s">
        <v>291</v>
      </c>
      <c r="O276" s="45" t="s">
        <v>304</v>
      </c>
    </row>
    <row r="277" spans="1:15">
      <c r="A277" s="9"/>
      <c r="B277" s="9"/>
      <c r="C277" s="9"/>
      <c r="D277" s="161" t="s">
        <v>709</v>
      </c>
      <c r="E277" s="42">
        <v>0</v>
      </c>
      <c r="F277" s="42">
        <v>0</v>
      </c>
      <c r="G277" s="42">
        <v>0</v>
      </c>
      <c r="H277" s="42">
        <v>0</v>
      </c>
      <c r="I277" s="42">
        <v>0</v>
      </c>
      <c r="J277" s="42">
        <v>0</v>
      </c>
      <c r="K277" s="42">
        <v>0</v>
      </c>
      <c r="L277" s="42">
        <v>0</v>
      </c>
      <c r="M277" s="150">
        <f>SUM(E277:L277)</f>
        <v>0</v>
      </c>
      <c r="N277" s="45" t="s">
        <v>293</v>
      </c>
      <c r="O277" s="45" t="s">
        <v>306</v>
      </c>
    </row>
    <row r="278" spans="1:15">
      <c r="A278" s="9"/>
      <c r="B278" s="9"/>
      <c r="C278" s="9"/>
      <c r="D278" s="161" t="s">
        <v>711</v>
      </c>
      <c r="E278" s="172">
        <v>0</v>
      </c>
      <c r="F278" s="172">
        <v>0</v>
      </c>
      <c r="G278" s="172">
        <v>0</v>
      </c>
      <c r="H278" s="172">
        <v>0</v>
      </c>
      <c r="I278" s="172">
        <v>0</v>
      </c>
      <c r="J278" s="172">
        <v>0</v>
      </c>
      <c r="K278" s="172">
        <v>0</v>
      </c>
      <c r="L278" s="172">
        <v>0</v>
      </c>
      <c r="M278" s="150">
        <f>SUM(E278:L278)</f>
        <v>0</v>
      </c>
      <c r="N278" s="45"/>
      <c r="O278" s="45"/>
    </row>
    <row r="279" spans="1:15" ht="25.5" thickBot="1">
      <c r="A279" s="9"/>
      <c r="B279" s="9"/>
      <c r="C279" s="9"/>
      <c r="D279" s="162" t="s">
        <v>712</v>
      </c>
      <c r="E279" s="106">
        <v>0</v>
      </c>
      <c r="F279" s="106">
        <v>0</v>
      </c>
      <c r="G279" s="106">
        <v>0</v>
      </c>
      <c r="H279" s="106">
        <v>0</v>
      </c>
      <c r="I279" s="106">
        <v>0</v>
      </c>
      <c r="J279" s="106">
        <v>0</v>
      </c>
      <c r="K279" s="106">
        <v>0</v>
      </c>
      <c r="L279" s="106">
        <v>0</v>
      </c>
      <c r="M279" s="164">
        <f>SUM(M275:M277)</f>
        <v>0</v>
      </c>
      <c r="N279" s="45" t="s">
        <v>263</v>
      </c>
      <c r="O279" s="45" t="s">
        <v>307</v>
      </c>
    </row>
    <row r="280" spans="1:15" ht="16" thickBot="1">
      <c r="A280" s="56"/>
      <c r="B280" s="56"/>
      <c r="C280" s="56"/>
      <c r="D280" s="56"/>
      <c r="E280" s="56"/>
      <c r="F280" s="56"/>
      <c r="G280" s="56"/>
      <c r="H280" s="56"/>
      <c r="I280" s="56"/>
      <c r="J280" s="56"/>
      <c r="K280" s="56"/>
      <c r="L280" s="56"/>
      <c r="M280" s="56"/>
      <c r="N280" s="56"/>
    </row>
    <row r="281" spans="1:15" ht="16" thickBot="1">
      <c r="A281" s="56"/>
      <c r="B281" s="56"/>
      <c r="C281" s="56"/>
      <c r="D281" s="361" t="s">
        <v>309</v>
      </c>
      <c r="E281" s="362" t="s">
        <v>102</v>
      </c>
      <c r="F281" s="362"/>
      <c r="G281" s="362"/>
      <c r="H281" s="362"/>
      <c r="I281" s="362"/>
      <c r="J281" s="362"/>
      <c r="K281" s="362"/>
      <c r="L281" s="362"/>
      <c r="M281" s="363"/>
      <c r="N281" s="56"/>
      <c r="O281" s="45" t="s">
        <v>308</v>
      </c>
    </row>
    <row r="282" spans="1:15">
      <c r="A282" s="56"/>
      <c r="B282" s="56"/>
      <c r="C282" s="56"/>
      <c r="D282" s="168" t="s">
        <v>713</v>
      </c>
      <c r="E282" s="169" t="str">
        <f>+E274</f>
        <v>Nord Stream AG (Stateless Permanent Establishment Denmark)</v>
      </c>
      <c r="F282" s="169">
        <f t="shared" ref="F282:M282" si="9">+F274</f>
        <v>0</v>
      </c>
      <c r="G282" s="169">
        <f t="shared" si="9"/>
        <v>0</v>
      </c>
      <c r="H282" s="169">
        <f t="shared" si="9"/>
        <v>0</v>
      </c>
      <c r="I282" s="169">
        <f t="shared" si="9"/>
        <v>0</v>
      </c>
      <c r="J282" s="169">
        <f t="shared" si="9"/>
        <v>0</v>
      </c>
      <c r="K282" s="169">
        <f t="shared" si="9"/>
        <v>0</v>
      </c>
      <c r="L282" s="169">
        <f t="shared" si="9"/>
        <v>0</v>
      </c>
      <c r="M282" s="170" t="str">
        <f t="shared" si="9"/>
        <v>Total amount</v>
      </c>
      <c r="N282" s="56"/>
      <c r="O282" s="45" t="s">
        <v>310</v>
      </c>
    </row>
    <row r="283" spans="1:15">
      <c r="A283" s="56"/>
      <c r="B283" s="56"/>
      <c r="C283" s="56"/>
      <c r="D283" s="161" t="s">
        <v>312</v>
      </c>
      <c r="E283" s="42">
        <v>0</v>
      </c>
      <c r="F283" s="42">
        <v>0</v>
      </c>
      <c r="G283" s="42">
        <v>0</v>
      </c>
      <c r="H283" s="42">
        <v>0</v>
      </c>
      <c r="I283" s="42">
        <v>0</v>
      </c>
      <c r="J283" s="42">
        <v>0</v>
      </c>
      <c r="K283" s="42">
        <v>0</v>
      </c>
      <c r="L283" s="42">
        <v>0</v>
      </c>
      <c r="M283" s="150">
        <f>SUM(E283:L283)</f>
        <v>0</v>
      </c>
      <c r="N283" s="56"/>
      <c r="O283" s="45" t="s">
        <v>311</v>
      </c>
    </row>
    <row r="284" spans="1:15">
      <c r="A284" s="56"/>
      <c r="B284" s="56"/>
      <c r="C284" s="56"/>
      <c r="D284" s="161" t="s">
        <v>314</v>
      </c>
      <c r="E284" s="42" t="s">
        <v>714</v>
      </c>
      <c r="F284" s="42" t="s">
        <v>714</v>
      </c>
      <c r="G284" s="42" t="s">
        <v>714</v>
      </c>
      <c r="H284" s="42" t="s">
        <v>714</v>
      </c>
      <c r="I284" s="42" t="s">
        <v>714</v>
      </c>
      <c r="J284" s="42" t="s">
        <v>714</v>
      </c>
      <c r="K284" s="42" t="s">
        <v>714</v>
      </c>
      <c r="L284" s="42" t="s">
        <v>714</v>
      </c>
      <c r="M284" s="150"/>
      <c r="N284" s="56"/>
      <c r="O284" s="45" t="s">
        <v>313</v>
      </c>
    </row>
    <row r="285" spans="1:15">
      <c r="A285" s="56"/>
      <c r="B285" s="56"/>
      <c r="C285" s="56"/>
      <c r="D285" s="161" t="s">
        <v>316</v>
      </c>
      <c r="E285" s="42" t="s">
        <v>715</v>
      </c>
      <c r="F285" s="42" t="s">
        <v>715</v>
      </c>
      <c r="G285" s="42" t="s">
        <v>715</v>
      </c>
      <c r="H285" s="42" t="s">
        <v>715</v>
      </c>
      <c r="I285" s="42" t="s">
        <v>715</v>
      </c>
      <c r="J285" s="42" t="s">
        <v>715</v>
      </c>
      <c r="K285" s="42" t="s">
        <v>715</v>
      </c>
      <c r="L285" s="42" t="s">
        <v>715</v>
      </c>
      <c r="M285" s="150"/>
      <c r="N285" s="56"/>
      <c r="O285" s="45" t="s">
        <v>315</v>
      </c>
    </row>
    <row r="286" spans="1:15" ht="16" thickBot="1">
      <c r="A286" s="56"/>
      <c r="B286" s="56"/>
      <c r="C286" s="56"/>
      <c r="D286" s="162" t="s">
        <v>318</v>
      </c>
      <c r="E286" s="106">
        <v>0</v>
      </c>
      <c r="F286" s="106">
        <v>0</v>
      </c>
      <c r="G286" s="106">
        <v>0</v>
      </c>
      <c r="H286" s="106">
        <v>0</v>
      </c>
      <c r="I286" s="106">
        <v>0</v>
      </c>
      <c r="J286" s="106"/>
      <c r="K286" s="106"/>
      <c r="L286" s="106"/>
      <c r="M286" s="164">
        <f>SUM(E286:L286)</f>
        <v>0</v>
      </c>
      <c r="N286" s="56"/>
      <c r="O286" s="45" t="s">
        <v>317</v>
      </c>
    </row>
    <row r="287" spans="1:15">
      <c r="A287" s="56"/>
      <c r="B287" s="56"/>
      <c r="C287" s="56"/>
      <c r="D287" s="2"/>
      <c r="E287" s="56"/>
      <c r="F287" s="56"/>
      <c r="G287" s="56"/>
      <c r="H287" s="56"/>
      <c r="I287" s="56"/>
      <c r="J287" s="56"/>
      <c r="K287" s="56"/>
      <c r="L287" s="56"/>
      <c r="M287" s="56"/>
      <c r="N287" s="56"/>
    </row>
    <row r="288" spans="1:15" ht="16" thickBot="1">
      <c r="A288" s="56"/>
      <c r="B288" s="56"/>
      <c r="C288" s="56"/>
      <c r="E288" s="56"/>
      <c r="F288" s="56"/>
      <c r="G288" s="56"/>
      <c r="H288" s="56"/>
      <c r="I288" s="56"/>
      <c r="J288" s="56"/>
      <c r="K288" s="56"/>
      <c r="L288" s="56"/>
      <c r="M288" s="56"/>
      <c r="N288" s="56"/>
    </row>
    <row r="289" spans="1:30" ht="16" thickBot="1">
      <c r="A289" s="56"/>
      <c r="B289" s="56"/>
      <c r="C289" s="56"/>
      <c r="D289" s="296" t="s">
        <v>319</v>
      </c>
      <c r="E289" s="297"/>
      <c r="F289" s="297"/>
      <c r="G289" s="297"/>
      <c r="H289" s="297"/>
      <c r="I289" s="297"/>
      <c r="J289" s="297"/>
      <c r="K289" s="297"/>
      <c r="L289" s="297"/>
      <c r="M289" s="298"/>
      <c r="N289" s="7"/>
    </row>
    <row r="290" spans="1:30" ht="16" thickBot="1">
      <c r="A290" s="56"/>
      <c r="B290" s="56"/>
      <c r="C290" s="56"/>
      <c r="D290" s="296" t="s">
        <v>321</v>
      </c>
      <c r="E290" s="297"/>
      <c r="F290" s="297"/>
      <c r="G290" s="297"/>
      <c r="H290" s="297"/>
      <c r="I290" s="297"/>
      <c r="J290" s="297"/>
      <c r="K290" s="297"/>
      <c r="L290" s="297"/>
      <c r="M290" s="298"/>
      <c r="N290" s="45"/>
      <c r="O290" s="45" t="s">
        <v>320</v>
      </c>
    </row>
    <row r="291" spans="1:30">
      <c r="A291" s="56"/>
      <c r="B291" s="56"/>
      <c r="C291" s="56"/>
      <c r="D291" s="174" t="s">
        <v>247</v>
      </c>
      <c r="E291" s="169" t="str">
        <f>+E282</f>
        <v>Nord Stream AG (Stateless Permanent Establishment Denmark)</v>
      </c>
      <c r="F291" s="169">
        <f t="shared" ref="F291:M291" si="10">+F282</f>
        <v>0</v>
      </c>
      <c r="G291" s="169">
        <f t="shared" si="10"/>
        <v>0</v>
      </c>
      <c r="H291" s="169">
        <f t="shared" si="10"/>
        <v>0</v>
      </c>
      <c r="I291" s="169">
        <f t="shared" si="10"/>
        <v>0</v>
      </c>
      <c r="J291" s="169">
        <f t="shared" si="10"/>
        <v>0</v>
      </c>
      <c r="K291" s="169">
        <f t="shared" si="10"/>
        <v>0</v>
      </c>
      <c r="L291" s="169">
        <f t="shared" si="10"/>
        <v>0</v>
      </c>
      <c r="M291" s="170" t="str">
        <f t="shared" si="10"/>
        <v>Total amount</v>
      </c>
      <c r="N291" s="45"/>
      <c r="O291" s="45" t="s">
        <v>322</v>
      </c>
    </row>
    <row r="292" spans="1:30" ht="16.5" customHeight="1">
      <c r="A292" s="56"/>
      <c r="B292" s="56"/>
      <c r="C292" s="56"/>
      <c r="D292" s="175" t="s">
        <v>325</v>
      </c>
      <c r="E292" s="173">
        <f>+E321</f>
        <v>3456765</v>
      </c>
      <c r="F292" s="173">
        <f t="shared" ref="F292:L292" si="11">+F321</f>
        <v>0</v>
      </c>
      <c r="G292" s="173">
        <f>+G321</f>
        <v>0</v>
      </c>
      <c r="H292" s="173">
        <f t="shared" si="11"/>
        <v>0</v>
      </c>
      <c r="I292" s="173">
        <f t="shared" si="11"/>
        <v>0</v>
      </c>
      <c r="J292" s="173">
        <f t="shared" si="11"/>
        <v>0</v>
      </c>
      <c r="K292" s="173">
        <f t="shared" si="11"/>
        <v>0</v>
      </c>
      <c r="L292" s="173">
        <f t="shared" si="11"/>
        <v>0</v>
      </c>
      <c r="M292" s="150">
        <f>SUM(E292:L292)</f>
        <v>3456765</v>
      </c>
      <c r="N292" s="45" t="s">
        <v>53</v>
      </c>
      <c r="O292" s="45" t="s">
        <v>324</v>
      </c>
    </row>
    <row r="293" spans="1:30">
      <c r="A293" s="56"/>
      <c r="B293" s="56"/>
      <c r="C293" s="56"/>
      <c r="D293" s="300" t="s">
        <v>250</v>
      </c>
      <c r="E293" s="301"/>
      <c r="F293" s="301"/>
      <c r="G293" s="301"/>
      <c r="H293" s="301"/>
      <c r="I293" s="301"/>
      <c r="J293" s="301"/>
      <c r="K293" s="301"/>
      <c r="L293" s="301"/>
      <c r="M293" s="302"/>
      <c r="N293" s="45" t="s">
        <v>137</v>
      </c>
      <c r="O293" s="45" t="s">
        <v>717</v>
      </c>
    </row>
    <row r="294" spans="1:30" ht="31" customHeight="1">
      <c r="A294" s="56"/>
      <c r="B294" s="56"/>
      <c r="C294" s="56"/>
      <c r="D294" s="24" t="s">
        <v>539</v>
      </c>
      <c r="E294" s="42">
        <v>0</v>
      </c>
      <c r="F294" s="42">
        <v>0</v>
      </c>
      <c r="G294" s="42">
        <v>0</v>
      </c>
      <c r="H294" s="42">
        <v>0</v>
      </c>
      <c r="I294" s="42">
        <v>0</v>
      </c>
      <c r="J294" s="42"/>
      <c r="K294" s="42"/>
      <c r="L294" s="42"/>
      <c r="M294" s="150">
        <f>SUM(E294:L294)</f>
        <v>0</v>
      </c>
      <c r="N294" s="45" t="s">
        <v>57</v>
      </c>
      <c r="O294" s="45" t="s">
        <v>718</v>
      </c>
      <c r="P294" s="289" t="s">
        <v>326</v>
      </c>
      <c r="Q294" s="290"/>
      <c r="R294" s="290"/>
      <c r="S294" s="290"/>
      <c r="T294" s="290"/>
      <c r="U294" s="290"/>
      <c r="V294" s="290"/>
      <c r="W294" s="290"/>
      <c r="X294" s="290"/>
      <c r="Y294" s="290"/>
      <c r="Z294" s="290"/>
      <c r="AA294" s="290"/>
      <c r="AB294" s="290"/>
      <c r="AC294" s="290"/>
      <c r="AD294" s="291"/>
    </row>
    <row r="295" spans="1:30" ht="52" customHeight="1">
      <c r="A295" s="56"/>
      <c r="B295" s="56"/>
      <c r="C295" s="56"/>
      <c r="D295" s="24" t="s">
        <v>730</v>
      </c>
      <c r="E295" s="42">
        <v>0</v>
      </c>
      <c r="F295" s="42">
        <v>0</v>
      </c>
      <c r="G295" s="42">
        <v>0</v>
      </c>
      <c r="H295" s="42">
        <v>0</v>
      </c>
      <c r="I295" s="42">
        <v>0</v>
      </c>
      <c r="J295" s="42"/>
      <c r="K295" s="42"/>
      <c r="L295" s="42"/>
      <c r="M295" s="150">
        <f t="shared" ref="M295:M310" si="12">SUM(E295:L295)</f>
        <v>0</v>
      </c>
      <c r="N295" s="45" t="s">
        <v>61</v>
      </c>
      <c r="O295" s="45" t="s">
        <v>719</v>
      </c>
      <c r="P295" s="289" t="s">
        <v>327</v>
      </c>
      <c r="Q295" s="290"/>
      <c r="R295" s="290"/>
      <c r="S295" s="290"/>
      <c r="T295" s="290"/>
      <c r="U295" s="290"/>
      <c r="V295" s="290"/>
      <c r="W295" s="290"/>
      <c r="X295" s="290"/>
      <c r="Y295" s="290"/>
      <c r="Z295" s="290"/>
      <c r="AA295" s="290"/>
      <c r="AB295" s="290"/>
      <c r="AC295" s="290"/>
      <c r="AD295" s="291"/>
    </row>
    <row r="296" spans="1:30" ht="56.5" customHeight="1">
      <c r="A296" s="56"/>
      <c r="B296" s="56"/>
      <c r="C296" s="56"/>
      <c r="D296" s="24" t="s">
        <v>731</v>
      </c>
      <c r="E296" s="42">
        <v>0</v>
      </c>
      <c r="F296" s="42">
        <v>0</v>
      </c>
      <c r="G296" s="42">
        <v>0</v>
      </c>
      <c r="H296" s="42">
        <v>0</v>
      </c>
      <c r="I296" s="42">
        <v>0</v>
      </c>
      <c r="J296" s="42"/>
      <c r="K296" s="42"/>
      <c r="L296" s="42"/>
      <c r="M296" s="150">
        <f t="shared" si="12"/>
        <v>0</v>
      </c>
      <c r="N296" s="45" t="s">
        <v>63</v>
      </c>
      <c r="O296" s="45" t="s">
        <v>328</v>
      </c>
      <c r="P296" s="289" t="s">
        <v>329</v>
      </c>
      <c r="Q296" s="290"/>
      <c r="R296" s="290"/>
      <c r="S296" s="290"/>
      <c r="T296" s="290"/>
      <c r="U296" s="290"/>
      <c r="V296" s="290"/>
      <c r="W296" s="290"/>
      <c r="X296" s="290"/>
      <c r="Y296" s="290"/>
      <c r="Z296" s="290"/>
      <c r="AA296" s="290"/>
      <c r="AB296" s="290"/>
      <c r="AC296" s="290"/>
      <c r="AD296" s="291"/>
    </row>
    <row r="297" spans="1:30" ht="41" customHeight="1">
      <c r="A297" s="56"/>
      <c r="B297" s="56"/>
      <c r="C297" s="56"/>
      <c r="D297" s="24" t="s">
        <v>734</v>
      </c>
      <c r="E297" s="42">
        <v>0</v>
      </c>
      <c r="F297" s="42">
        <v>0</v>
      </c>
      <c r="G297" s="42">
        <v>0</v>
      </c>
      <c r="H297" s="42">
        <v>0</v>
      </c>
      <c r="I297" s="42">
        <v>0</v>
      </c>
      <c r="J297" s="42"/>
      <c r="K297" s="42"/>
      <c r="L297" s="42"/>
      <c r="M297" s="150">
        <f t="shared" si="12"/>
        <v>0</v>
      </c>
      <c r="N297" s="45" t="s">
        <v>66</v>
      </c>
      <c r="O297" s="45" t="s">
        <v>720</v>
      </c>
      <c r="P297" s="289" t="s">
        <v>330</v>
      </c>
      <c r="Q297" s="290"/>
      <c r="R297" s="290"/>
      <c r="S297" s="290"/>
      <c r="T297" s="290"/>
      <c r="U297" s="290"/>
      <c r="V297" s="290"/>
      <c r="W297" s="290"/>
      <c r="X297" s="290"/>
      <c r="Y297" s="290"/>
      <c r="Z297" s="290"/>
      <c r="AA297" s="290"/>
      <c r="AB297" s="290"/>
      <c r="AC297" s="290"/>
      <c r="AD297" s="291"/>
    </row>
    <row r="298" spans="1:30" ht="36.5" customHeight="1">
      <c r="A298" s="56"/>
      <c r="B298" s="56"/>
      <c r="C298" s="56"/>
      <c r="D298" s="24" t="s">
        <v>732</v>
      </c>
      <c r="E298" s="42">
        <v>0</v>
      </c>
      <c r="F298" s="42">
        <v>0</v>
      </c>
      <c r="G298" s="42">
        <v>0</v>
      </c>
      <c r="H298" s="42">
        <v>0</v>
      </c>
      <c r="I298" s="42">
        <v>0</v>
      </c>
      <c r="J298" s="42"/>
      <c r="K298" s="42"/>
      <c r="L298" s="42"/>
      <c r="M298" s="150">
        <f t="shared" si="12"/>
        <v>0</v>
      </c>
      <c r="N298" s="45" t="s">
        <v>68</v>
      </c>
      <c r="O298" s="45" t="s">
        <v>721</v>
      </c>
      <c r="P298" s="289" t="s">
        <v>331</v>
      </c>
      <c r="Q298" s="290"/>
      <c r="R298" s="290"/>
      <c r="S298" s="290"/>
      <c r="T298" s="290"/>
      <c r="U298" s="290"/>
      <c r="V298" s="290"/>
      <c r="W298" s="290"/>
      <c r="X298" s="290"/>
      <c r="Y298" s="290"/>
      <c r="Z298" s="290"/>
      <c r="AA298" s="290"/>
      <c r="AB298" s="290"/>
      <c r="AC298" s="290"/>
      <c r="AD298" s="291"/>
    </row>
    <row r="299" spans="1:30" ht="31">
      <c r="A299" s="56"/>
      <c r="B299" s="56"/>
      <c r="C299" s="56"/>
      <c r="D299" s="24" t="s">
        <v>733</v>
      </c>
      <c r="E299" s="42">
        <v>0</v>
      </c>
      <c r="F299" s="42">
        <v>0</v>
      </c>
      <c r="G299" s="42">
        <v>0</v>
      </c>
      <c r="H299" s="42">
        <v>0</v>
      </c>
      <c r="I299" s="42">
        <v>0</v>
      </c>
      <c r="J299" s="42"/>
      <c r="K299" s="42"/>
      <c r="L299" s="42"/>
      <c r="M299" s="150">
        <f t="shared" si="12"/>
        <v>0</v>
      </c>
      <c r="N299" s="45" t="s">
        <v>70</v>
      </c>
      <c r="O299" s="45" t="s">
        <v>332</v>
      </c>
      <c r="P299" s="289" t="s">
        <v>333</v>
      </c>
      <c r="Q299" s="290"/>
      <c r="R299" s="290"/>
      <c r="S299" s="290"/>
      <c r="T299" s="290"/>
      <c r="U299" s="290"/>
      <c r="V299" s="290"/>
      <c r="W299" s="290"/>
      <c r="X299" s="290"/>
      <c r="Y299" s="290"/>
      <c r="Z299" s="290"/>
      <c r="AA299" s="290"/>
      <c r="AB299" s="290"/>
      <c r="AC299" s="290"/>
      <c r="AD299" s="291"/>
    </row>
    <row r="300" spans="1:30" ht="31" customHeight="1">
      <c r="A300" s="56"/>
      <c r="B300" s="56"/>
      <c r="C300" s="56"/>
      <c r="D300" s="24" t="s">
        <v>735</v>
      </c>
      <c r="E300" s="42">
        <v>0</v>
      </c>
      <c r="F300" s="42">
        <v>0</v>
      </c>
      <c r="G300" s="42">
        <v>0</v>
      </c>
      <c r="H300" s="42">
        <v>0</v>
      </c>
      <c r="I300" s="42">
        <v>0</v>
      </c>
      <c r="J300" s="42"/>
      <c r="K300" s="42"/>
      <c r="L300" s="42"/>
      <c r="M300" s="150">
        <f t="shared" si="12"/>
        <v>0</v>
      </c>
      <c r="N300" s="45" t="s">
        <v>73</v>
      </c>
      <c r="O300" s="45" t="s">
        <v>334</v>
      </c>
      <c r="P300" s="289" t="s">
        <v>335</v>
      </c>
      <c r="Q300" s="290"/>
      <c r="R300" s="290"/>
      <c r="S300" s="290"/>
      <c r="T300" s="290"/>
      <c r="U300" s="290"/>
      <c r="V300" s="290"/>
      <c r="W300" s="290"/>
      <c r="X300" s="290"/>
      <c r="Y300" s="290"/>
      <c r="Z300" s="290"/>
      <c r="AA300" s="290"/>
      <c r="AB300" s="290"/>
      <c r="AC300" s="290"/>
      <c r="AD300" s="291"/>
    </row>
    <row r="301" spans="1:30" ht="16.5" customHeight="1">
      <c r="A301" s="56"/>
      <c r="B301" s="56"/>
      <c r="C301" s="56"/>
      <c r="D301" s="24" t="s">
        <v>736</v>
      </c>
      <c r="E301" s="42">
        <v>0</v>
      </c>
      <c r="F301" s="42">
        <v>0</v>
      </c>
      <c r="G301" s="42">
        <v>0</v>
      </c>
      <c r="H301" s="42">
        <v>0</v>
      </c>
      <c r="I301" s="42">
        <v>0</v>
      </c>
      <c r="J301" s="42"/>
      <c r="K301" s="42"/>
      <c r="L301" s="42"/>
      <c r="M301" s="150">
        <f t="shared" si="12"/>
        <v>0</v>
      </c>
      <c r="N301" s="45" t="s">
        <v>76</v>
      </c>
      <c r="O301" s="45" t="s">
        <v>722</v>
      </c>
      <c r="P301" s="289" t="s">
        <v>336</v>
      </c>
      <c r="Q301" s="290"/>
      <c r="R301" s="290"/>
      <c r="S301" s="290"/>
      <c r="T301" s="290"/>
      <c r="U301" s="290"/>
      <c r="V301" s="290"/>
      <c r="W301" s="290"/>
      <c r="X301" s="290"/>
      <c r="Y301" s="290"/>
      <c r="Z301" s="290"/>
      <c r="AA301" s="290"/>
      <c r="AB301" s="290"/>
      <c r="AC301" s="290"/>
      <c r="AD301" s="291"/>
    </row>
    <row r="302" spans="1:30" ht="31" customHeight="1">
      <c r="A302" s="56"/>
      <c r="B302" s="56"/>
      <c r="C302" s="56"/>
      <c r="D302" s="24" t="s">
        <v>737</v>
      </c>
      <c r="E302" s="42">
        <v>0</v>
      </c>
      <c r="F302" s="42">
        <v>0</v>
      </c>
      <c r="G302" s="42">
        <v>0</v>
      </c>
      <c r="H302" s="42">
        <v>0</v>
      </c>
      <c r="I302" s="42">
        <v>0</v>
      </c>
      <c r="J302" s="42"/>
      <c r="K302" s="42"/>
      <c r="L302" s="42"/>
      <c r="M302" s="150">
        <f t="shared" si="12"/>
        <v>0</v>
      </c>
      <c r="N302" s="45" t="s">
        <v>78</v>
      </c>
      <c r="O302" s="45" t="s">
        <v>723</v>
      </c>
      <c r="P302" s="289" t="s">
        <v>337</v>
      </c>
      <c r="Q302" s="290"/>
      <c r="R302" s="290"/>
      <c r="S302" s="290"/>
      <c r="T302" s="290"/>
      <c r="U302" s="290"/>
      <c r="V302" s="290"/>
      <c r="W302" s="290"/>
      <c r="X302" s="290"/>
      <c r="Y302" s="290"/>
      <c r="Z302" s="290"/>
      <c r="AA302" s="290"/>
      <c r="AB302" s="290"/>
      <c r="AC302" s="290"/>
      <c r="AD302" s="291"/>
    </row>
    <row r="303" spans="1:30" ht="16.5" customHeight="1">
      <c r="A303" s="56"/>
      <c r="B303" s="56"/>
      <c r="C303" s="56"/>
      <c r="D303" s="24" t="s">
        <v>738</v>
      </c>
      <c r="E303" s="42">
        <v>0</v>
      </c>
      <c r="F303" s="42">
        <v>0</v>
      </c>
      <c r="G303" s="42">
        <v>0</v>
      </c>
      <c r="H303" s="42">
        <v>0</v>
      </c>
      <c r="I303" s="42">
        <v>0</v>
      </c>
      <c r="J303" s="42">
        <v>0</v>
      </c>
      <c r="K303" s="42">
        <v>0</v>
      </c>
      <c r="L303" s="42">
        <v>0</v>
      </c>
      <c r="M303" s="150">
        <f t="shared" si="12"/>
        <v>0</v>
      </c>
      <c r="N303" s="45" t="s">
        <v>80</v>
      </c>
      <c r="O303" s="45" t="s">
        <v>724</v>
      </c>
      <c r="P303" s="289" t="s">
        <v>338</v>
      </c>
      <c r="Q303" s="290"/>
      <c r="R303" s="290"/>
      <c r="S303" s="290"/>
      <c r="T303" s="290"/>
      <c r="U303" s="290"/>
      <c r="V303" s="290"/>
      <c r="W303" s="290"/>
      <c r="X303" s="290"/>
      <c r="Y303" s="290"/>
      <c r="Z303" s="290"/>
      <c r="AA303" s="290"/>
      <c r="AB303" s="290"/>
      <c r="AC303" s="290"/>
      <c r="AD303" s="291"/>
    </row>
    <row r="304" spans="1:30" ht="16.5" customHeight="1">
      <c r="A304" s="56"/>
      <c r="B304" s="56"/>
      <c r="C304" s="56"/>
      <c r="D304" s="24" t="s">
        <v>739</v>
      </c>
      <c r="E304" s="42">
        <v>0</v>
      </c>
      <c r="F304" s="42">
        <v>0</v>
      </c>
      <c r="G304" s="42">
        <v>0</v>
      </c>
      <c r="H304" s="42">
        <v>0</v>
      </c>
      <c r="I304" s="42">
        <v>0</v>
      </c>
      <c r="J304" s="42">
        <v>0</v>
      </c>
      <c r="K304" s="42">
        <v>0</v>
      </c>
      <c r="L304" s="42">
        <v>0</v>
      </c>
      <c r="M304" s="150">
        <f t="shared" si="12"/>
        <v>0</v>
      </c>
      <c r="N304" s="45" t="s">
        <v>82</v>
      </c>
      <c r="O304" s="45" t="s">
        <v>725</v>
      </c>
      <c r="P304" s="289" t="s">
        <v>339</v>
      </c>
      <c r="Q304" s="290"/>
      <c r="R304" s="290"/>
      <c r="S304" s="290"/>
      <c r="T304" s="290"/>
      <c r="U304" s="290"/>
      <c r="V304" s="290"/>
      <c r="W304" s="290"/>
      <c r="X304" s="290"/>
      <c r="Y304" s="290"/>
      <c r="Z304" s="290"/>
      <c r="AA304" s="290"/>
      <c r="AB304" s="290"/>
      <c r="AC304" s="290"/>
      <c r="AD304" s="291"/>
    </row>
    <row r="305" spans="1:30" ht="16.5" customHeight="1">
      <c r="A305" s="56"/>
      <c r="B305" s="56"/>
      <c r="C305" s="56"/>
      <c r="D305" s="24" t="s">
        <v>740</v>
      </c>
      <c r="E305" s="42">
        <v>0</v>
      </c>
      <c r="F305" s="42">
        <v>0</v>
      </c>
      <c r="G305" s="42">
        <v>0</v>
      </c>
      <c r="H305" s="42">
        <v>0</v>
      </c>
      <c r="I305" s="42">
        <v>0</v>
      </c>
      <c r="J305" s="42">
        <v>0</v>
      </c>
      <c r="K305" s="42">
        <v>0</v>
      </c>
      <c r="L305" s="42">
        <v>0</v>
      </c>
      <c r="M305" s="150">
        <f t="shared" si="12"/>
        <v>0</v>
      </c>
      <c r="N305" s="45" t="s">
        <v>84</v>
      </c>
      <c r="O305" s="45" t="s">
        <v>726</v>
      </c>
      <c r="P305" s="14"/>
    </row>
    <row r="306" spans="1:30" ht="16.5" customHeight="1">
      <c r="A306" s="56"/>
      <c r="B306" s="56"/>
      <c r="C306" s="56"/>
      <c r="D306" s="24" t="s">
        <v>549</v>
      </c>
      <c r="E306" s="42">
        <v>0</v>
      </c>
      <c r="F306" s="42">
        <v>0</v>
      </c>
      <c r="G306" s="42">
        <v>0</v>
      </c>
      <c r="H306" s="42">
        <v>0</v>
      </c>
      <c r="I306" s="42">
        <v>0</v>
      </c>
      <c r="J306" s="42">
        <v>0</v>
      </c>
      <c r="K306" s="42">
        <v>0</v>
      </c>
      <c r="L306" s="42">
        <v>0</v>
      </c>
      <c r="M306" s="150">
        <f t="shared" si="12"/>
        <v>0</v>
      </c>
      <c r="N306" s="45" t="s">
        <v>86</v>
      </c>
      <c r="O306" s="45" t="s">
        <v>727</v>
      </c>
      <c r="P306" s="14"/>
    </row>
    <row r="307" spans="1:30" ht="86" customHeight="1">
      <c r="A307" s="56"/>
      <c r="B307" s="56"/>
      <c r="C307" s="56"/>
      <c r="D307" s="24" t="s">
        <v>741</v>
      </c>
      <c r="E307" s="42">
        <v>0</v>
      </c>
      <c r="F307" s="42">
        <v>0</v>
      </c>
      <c r="G307" s="42">
        <v>0</v>
      </c>
      <c r="H307" s="42">
        <v>0</v>
      </c>
      <c r="I307" s="42">
        <v>0</v>
      </c>
      <c r="J307" s="42">
        <v>0</v>
      </c>
      <c r="K307" s="42">
        <v>0</v>
      </c>
      <c r="L307" s="42">
        <v>0</v>
      </c>
      <c r="M307" s="150">
        <f t="shared" si="12"/>
        <v>0</v>
      </c>
      <c r="N307" s="45" t="s">
        <v>88</v>
      </c>
      <c r="O307" s="45" t="s">
        <v>340</v>
      </c>
      <c r="P307" s="289" t="s">
        <v>341</v>
      </c>
      <c r="Q307" s="290"/>
      <c r="R307" s="290"/>
      <c r="S307" s="290"/>
      <c r="T307" s="290"/>
      <c r="U307" s="290"/>
      <c r="V307" s="290"/>
      <c r="W307" s="290"/>
      <c r="X307" s="290"/>
      <c r="Y307" s="290"/>
      <c r="Z307" s="290"/>
      <c r="AA307" s="290"/>
      <c r="AB307" s="290"/>
      <c r="AC307" s="290"/>
      <c r="AD307" s="291"/>
    </row>
    <row r="308" spans="1:30" ht="71.5" customHeight="1">
      <c r="A308" s="56"/>
      <c r="B308" s="56"/>
      <c r="C308" s="56"/>
      <c r="D308" s="24" t="s">
        <v>742</v>
      </c>
      <c r="E308" s="42">
        <v>0</v>
      </c>
      <c r="F308" s="42">
        <v>0</v>
      </c>
      <c r="G308" s="42">
        <v>0</v>
      </c>
      <c r="H308" s="42">
        <v>0</v>
      </c>
      <c r="I308" s="42">
        <v>0</v>
      </c>
      <c r="J308" s="42">
        <v>0</v>
      </c>
      <c r="K308" s="42">
        <v>0</v>
      </c>
      <c r="L308" s="42">
        <v>0</v>
      </c>
      <c r="M308" s="150">
        <f t="shared" si="12"/>
        <v>0</v>
      </c>
      <c r="N308" s="45" t="s">
        <v>90</v>
      </c>
      <c r="O308" s="45" t="s">
        <v>728</v>
      </c>
      <c r="P308" s="289" t="s">
        <v>342</v>
      </c>
      <c r="Q308" s="290"/>
      <c r="R308" s="290"/>
      <c r="S308" s="290"/>
      <c r="T308" s="290"/>
      <c r="U308" s="290"/>
      <c r="V308" s="290"/>
      <c r="W308" s="290"/>
      <c r="X308" s="290"/>
      <c r="Y308" s="290"/>
      <c r="Z308" s="290"/>
      <c r="AA308" s="290"/>
      <c r="AB308" s="290"/>
      <c r="AC308" s="290"/>
      <c r="AD308" s="291"/>
    </row>
    <row r="309" spans="1:30" ht="16.5" customHeight="1">
      <c r="A309" s="56"/>
      <c r="B309" s="56"/>
      <c r="C309" s="56"/>
      <c r="D309" s="24" t="s">
        <v>743</v>
      </c>
      <c r="E309" s="42">
        <v>0</v>
      </c>
      <c r="F309" s="42">
        <v>0</v>
      </c>
      <c r="G309" s="42">
        <v>0</v>
      </c>
      <c r="H309" s="42">
        <v>0</v>
      </c>
      <c r="I309" s="42">
        <v>0</v>
      </c>
      <c r="J309" s="42">
        <v>0</v>
      </c>
      <c r="K309" s="42">
        <v>0</v>
      </c>
      <c r="L309" s="42">
        <v>0</v>
      </c>
      <c r="M309" s="150">
        <f t="shared" si="12"/>
        <v>0</v>
      </c>
      <c r="N309" s="45" t="s">
        <v>92</v>
      </c>
      <c r="O309" s="45" t="s">
        <v>344</v>
      </c>
      <c r="P309" s="14"/>
    </row>
    <row r="310" spans="1:30" ht="31">
      <c r="A310" s="56"/>
      <c r="B310" s="56"/>
      <c r="C310" s="56"/>
      <c r="D310" s="24" t="s">
        <v>744</v>
      </c>
      <c r="E310" s="42">
        <v>0</v>
      </c>
      <c r="F310" s="42">
        <v>0</v>
      </c>
      <c r="G310" s="42">
        <v>0</v>
      </c>
      <c r="H310" s="42">
        <v>0</v>
      </c>
      <c r="I310" s="42">
        <v>0</v>
      </c>
      <c r="J310" s="42"/>
      <c r="K310" s="42"/>
      <c r="L310" s="42"/>
      <c r="M310" s="150">
        <f t="shared" si="12"/>
        <v>0</v>
      </c>
      <c r="N310" s="45" t="s">
        <v>91</v>
      </c>
      <c r="O310" s="45" t="s">
        <v>729</v>
      </c>
      <c r="P310" s="289" t="s">
        <v>345</v>
      </c>
      <c r="Q310" s="290"/>
      <c r="R310" s="290"/>
      <c r="S310" s="290"/>
      <c r="T310" s="290"/>
      <c r="U310" s="290"/>
      <c r="V310" s="290"/>
      <c r="W310" s="290"/>
      <c r="X310" s="290"/>
      <c r="Y310" s="290"/>
      <c r="Z310" s="290"/>
      <c r="AA310" s="290"/>
      <c r="AB310" s="290"/>
      <c r="AC310" s="290"/>
      <c r="AD310" s="291"/>
    </row>
    <row r="311" spans="1:30" ht="16.5" customHeight="1" thickBot="1">
      <c r="A311" s="56"/>
      <c r="B311" s="56"/>
      <c r="C311" s="56"/>
      <c r="D311" s="176" t="s">
        <v>347</v>
      </c>
      <c r="E311" s="171">
        <f t="shared" ref="E311:M311" si="13">+E292+SUM(E294:E310)</f>
        <v>3456765</v>
      </c>
      <c r="F311" s="171">
        <f t="shared" si="13"/>
        <v>0</v>
      </c>
      <c r="G311" s="171">
        <f>+G292+SUM(G294:G310)</f>
        <v>0</v>
      </c>
      <c r="H311" s="171">
        <f t="shared" si="13"/>
        <v>0</v>
      </c>
      <c r="I311" s="171">
        <f t="shared" si="13"/>
        <v>0</v>
      </c>
      <c r="J311" s="171">
        <f t="shared" si="13"/>
        <v>0</v>
      </c>
      <c r="K311" s="171">
        <f t="shared" si="13"/>
        <v>0</v>
      </c>
      <c r="L311" s="171">
        <f t="shared" si="13"/>
        <v>0</v>
      </c>
      <c r="M311" s="164">
        <f t="shared" si="13"/>
        <v>3456765</v>
      </c>
      <c r="N311" s="45" t="s">
        <v>14</v>
      </c>
      <c r="O311" s="45" t="s">
        <v>346</v>
      </c>
    </row>
    <row r="312" spans="1:30" ht="16" thickBot="1">
      <c r="A312" s="56"/>
      <c r="B312" s="56"/>
      <c r="C312" s="56"/>
      <c r="D312" s="7"/>
      <c r="E312" s="7"/>
      <c r="F312" s="7"/>
      <c r="G312" s="7"/>
      <c r="H312" s="7"/>
      <c r="I312" s="7"/>
      <c r="J312" s="7"/>
      <c r="K312" s="7"/>
    </row>
    <row r="313" spans="1:30" ht="16" thickBot="1">
      <c r="A313" s="56"/>
      <c r="B313" s="56"/>
      <c r="C313" s="56"/>
      <c r="D313" s="296" t="s">
        <v>745</v>
      </c>
      <c r="E313" s="297" t="s">
        <v>102</v>
      </c>
      <c r="F313" s="297"/>
      <c r="G313" s="297"/>
      <c r="H313" s="297"/>
      <c r="I313" s="297"/>
      <c r="J313" s="297"/>
      <c r="K313" s="297"/>
      <c r="L313" s="297"/>
      <c r="M313" s="298"/>
      <c r="N313" s="45"/>
      <c r="O313" s="45" t="s">
        <v>348</v>
      </c>
    </row>
    <row r="314" spans="1:30">
      <c r="A314" s="56"/>
      <c r="B314" s="56"/>
      <c r="C314" s="56"/>
      <c r="D314" s="168" t="s">
        <v>713</v>
      </c>
      <c r="E314" s="169" t="str">
        <f>+E291</f>
        <v>Nord Stream AG (Stateless Permanent Establishment Denmark)</v>
      </c>
      <c r="F314" s="169">
        <f t="shared" ref="F314:L314" si="14">+F291</f>
        <v>0</v>
      </c>
      <c r="G314" s="169">
        <f t="shared" si="14"/>
        <v>0</v>
      </c>
      <c r="H314" s="169">
        <f t="shared" si="14"/>
        <v>0</v>
      </c>
      <c r="I314" s="169">
        <f t="shared" si="14"/>
        <v>0</v>
      </c>
      <c r="J314" s="169">
        <f t="shared" si="14"/>
        <v>0</v>
      </c>
      <c r="K314" s="169">
        <f t="shared" si="14"/>
        <v>0</v>
      </c>
      <c r="L314" s="169">
        <f t="shared" si="14"/>
        <v>0</v>
      </c>
      <c r="M314" s="170" t="str">
        <f>+M291</f>
        <v>Total amount</v>
      </c>
      <c r="N314" s="45" t="s">
        <v>245</v>
      </c>
      <c r="O314" s="45" t="s">
        <v>349</v>
      </c>
    </row>
    <row r="315" spans="1:30">
      <c r="A315" s="56"/>
      <c r="B315" s="56"/>
      <c r="C315" s="56"/>
      <c r="D315" s="161" t="s">
        <v>746</v>
      </c>
      <c r="E315" s="42">
        <v>3456765</v>
      </c>
      <c r="F315" s="42">
        <v>0</v>
      </c>
      <c r="G315" s="42">
        <v>0</v>
      </c>
      <c r="H315" s="42">
        <v>0</v>
      </c>
      <c r="I315" s="42">
        <v>0</v>
      </c>
      <c r="J315" s="42">
        <v>0</v>
      </c>
      <c r="K315" s="42"/>
      <c r="L315" s="42"/>
      <c r="M315" s="150">
        <f>SUM(E315:L315)</f>
        <v>3456765</v>
      </c>
      <c r="N315" s="45"/>
      <c r="O315" s="45" t="s">
        <v>350</v>
      </c>
    </row>
    <row r="316" spans="1:30">
      <c r="A316" s="56"/>
      <c r="B316" s="56"/>
      <c r="C316" s="56"/>
      <c r="D316" s="177" t="s">
        <v>710</v>
      </c>
      <c r="E316" s="42"/>
      <c r="F316" s="42"/>
      <c r="G316" s="42"/>
      <c r="H316" s="42"/>
      <c r="I316" s="42"/>
      <c r="J316" s="42"/>
      <c r="K316" s="42"/>
      <c r="L316" s="42"/>
      <c r="M316" s="150"/>
      <c r="N316" s="45" t="s">
        <v>289</v>
      </c>
      <c r="O316" s="45" t="s">
        <v>351</v>
      </c>
    </row>
    <row r="317" spans="1:30">
      <c r="A317" s="56"/>
      <c r="B317" s="56"/>
      <c r="C317" s="56"/>
      <c r="D317" s="161" t="s">
        <v>701</v>
      </c>
      <c r="E317" s="42" t="s">
        <v>714</v>
      </c>
      <c r="F317" s="42" t="s">
        <v>714</v>
      </c>
      <c r="G317" s="42" t="s">
        <v>714</v>
      </c>
      <c r="H317" s="42" t="s">
        <v>714</v>
      </c>
      <c r="I317" s="42" t="s">
        <v>714</v>
      </c>
      <c r="J317" s="42" t="s">
        <v>714</v>
      </c>
      <c r="K317" s="42" t="s">
        <v>714</v>
      </c>
      <c r="L317" s="42" t="s">
        <v>714</v>
      </c>
      <c r="M317" s="150"/>
      <c r="N317" s="45" t="s">
        <v>291</v>
      </c>
      <c r="O317" s="45" t="s">
        <v>352</v>
      </c>
    </row>
    <row r="318" spans="1:30">
      <c r="A318" s="56"/>
      <c r="B318" s="56"/>
      <c r="C318" s="56"/>
      <c r="D318" s="161" t="s">
        <v>702</v>
      </c>
      <c r="E318" s="42" t="s">
        <v>716</v>
      </c>
      <c r="F318" s="42" t="s">
        <v>716</v>
      </c>
      <c r="G318" s="42" t="s">
        <v>716</v>
      </c>
      <c r="H318" s="42" t="s">
        <v>716</v>
      </c>
      <c r="I318" s="42" t="s">
        <v>716</v>
      </c>
      <c r="J318" s="42" t="s">
        <v>716</v>
      </c>
      <c r="K318" s="42" t="s">
        <v>716</v>
      </c>
      <c r="L318" s="42" t="s">
        <v>716</v>
      </c>
      <c r="M318" s="150"/>
      <c r="N318" s="45" t="s">
        <v>293</v>
      </c>
      <c r="O318" s="45" t="s">
        <v>353</v>
      </c>
    </row>
    <row r="319" spans="1:30">
      <c r="A319" s="56"/>
      <c r="B319" s="56"/>
      <c r="C319" s="56"/>
      <c r="D319" s="161" t="s">
        <v>703</v>
      </c>
      <c r="E319" s="42">
        <v>0</v>
      </c>
      <c r="F319" s="42">
        <v>0</v>
      </c>
      <c r="G319" s="42">
        <v>0</v>
      </c>
      <c r="H319" s="42">
        <v>0</v>
      </c>
      <c r="I319" s="42">
        <v>0</v>
      </c>
      <c r="J319" s="42"/>
      <c r="K319" s="42"/>
      <c r="L319" s="42"/>
      <c r="M319" s="150">
        <f>SUM(E319:L319)</f>
        <v>0</v>
      </c>
      <c r="N319" s="45" t="s">
        <v>295</v>
      </c>
      <c r="O319" s="45" t="s">
        <v>354</v>
      </c>
    </row>
    <row r="320" spans="1:30">
      <c r="A320" s="56"/>
      <c r="B320" s="56"/>
      <c r="C320" s="56"/>
      <c r="D320" s="161" t="s">
        <v>704</v>
      </c>
      <c r="E320" s="42">
        <v>0</v>
      </c>
      <c r="F320" s="42">
        <v>0</v>
      </c>
      <c r="G320" s="42">
        <v>0</v>
      </c>
      <c r="H320" s="42">
        <v>0</v>
      </c>
      <c r="I320" s="42">
        <v>0</v>
      </c>
      <c r="J320" s="42"/>
      <c r="K320" s="42"/>
      <c r="L320" s="42"/>
      <c r="M320" s="150">
        <f>SUM(E320:L320)</f>
        <v>0</v>
      </c>
      <c r="N320" s="45" t="s">
        <v>297</v>
      </c>
      <c r="O320" s="45" t="s">
        <v>355</v>
      </c>
    </row>
    <row r="321" spans="1:30" ht="16" thickBot="1">
      <c r="A321" s="56"/>
      <c r="B321" s="56"/>
      <c r="C321" s="56"/>
      <c r="D321" s="178" t="s">
        <v>747</v>
      </c>
      <c r="E321" s="179">
        <f>+E315+E319+E320</f>
        <v>3456765</v>
      </c>
      <c r="F321" s="179">
        <f t="shared" ref="F321:L321" si="15">+F315+F319+F320</f>
        <v>0</v>
      </c>
      <c r="G321" s="179">
        <f t="shared" si="15"/>
        <v>0</v>
      </c>
      <c r="H321" s="179">
        <f t="shared" si="15"/>
        <v>0</v>
      </c>
      <c r="I321" s="179">
        <f t="shared" si="15"/>
        <v>0</v>
      </c>
      <c r="J321" s="179">
        <f t="shared" si="15"/>
        <v>0</v>
      </c>
      <c r="K321" s="179">
        <f t="shared" si="15"/>
        <v>0</v>
      </c>
      <c r="L321" s="179">
        <f t="shared" si="15"/>
        <v>0</v>
      </c>
      <c r="M321" s="180">
        <f>+M315+M319+M320</f>
        <v>3456765</v>
      </c>
      <c r="N321" s="45" t="s">
        <v>323</v>
      </c>
      <c r="O321" s="45"/>
    </row>
    <row r="322" spans="1:30" ht="16" thickBot="1">
      <c r="A322" s="56"/>
      <c r="B322" s="56"/>
      <c r="C322" s="56"/>
      <c r="D322" s="7"/>
      <c r="E322" s="7"/>
      <c r="F322" s="7"/>
      <c r="G322" s="7"/>
      <c r="H322" s="7"/>
      <c r="I322" s="7"/>
      <c r="J322" s="7"/>
      <c r="K322" s="7"/>
    </row>
    <row r="323" spans="1:30" ht="16" thickBot="1">
      <c r="A323" s="56"/>
      <c r="B323" s="56"/>
      <c r="C323" s="56"/>
      <c r="D323" s="296" t="s">
        <v>808</v>
      </c>
      <c r="E323" s="297"/>
      <c r="F323" s="297"/>
      <c r="G323" s="297"/>
      <c r="H323" s="297"/>
      <c r="I323" s="297"/>
      <c r="J323" s="297"/>
      <c r="K323" s="297"/>
      <c r="L323" s="297"/>
      <c r="M323" s="298"/>
      <c r="N323" s="45"/>
      <c r="O323" s="45" t="s">
        <v>356</v>
      </c>
    </row>
    <row r="324" spans="1:30">
      <c r="A324" s="56"/>
      <c r="B324" s="56"/>
      <c r="C324" s="56"/>
      <c r="D324" s="174" t="s">
        <v>247</v>
      </c>
      <c r="E324" s="169" t="str">
        <f>+E314</f>
        <v>Nord Stream AG (Stateless Permanent Establishment Denmark)</v>
      </c>
      <c r="F324" s="169">
        <f t="shared" ref="F324:M324" si="16">+F314</f>
        <v>0</v>
      </c>
      <c r="G324" s="169">
        <f t="shared" si="16"/>
        <v>0</v>
      </c>
      <c r="H324" s="169">
        <f t="shared" si="16"/>
        <v>0</v>
      </c>
      <c r="I324" s="169">
        <f t="shared" si="16"/>
        <v>0</v>
      </c>
      <c r="J324" s="169">
        <f t="shared" si="16"/>
        <v>0</v>
      </c>
      <c r="K324" s="169">
        <f t="shared" si="16"/>
        <v>0</v>
      </c>
      <c r="L324" s="169">
        <f t="shared" si="16"/>
        <v>0</v>
      </c>
      <c r="M324" s="170" t="str">
        <f t="shared" si="16"/>
        <v>Total amount</v>
      </c>
      <c r="N324" s="45" t="s">
        <v>245</v>
      </c>
      <c r="O324" s="45" t="s">
        <v>357</v>
      </c>
    </row>
    <row r="325" spans="1:30">
      <c r="A325" s="56"/>
      <c r="B325" s="56"/>
      <c r="C325" s="56"/>
      <c r="D325" s="175" t="s">
        <v>765</v>
      </c>
      <c r="E325" s="42">
        <v>4565</v>
      </c>
      <c r="F325" s="42">
        <v>0</v>
      </c>
      <c r="G325" s="42">
        <v>0</v>
      </c>
      <c r="H325" s="42">
        <v>0</v>
      </c>
      <c r="I325" s="42">
        <v>0</v>
      </c>
      <c r="J325" s="42"/>
      <c r="K325" s="42"/>
      <c r="L325" s="42"/>
      <c r="M325" s="150">
        <f>SUM(E325:L325)</f>
        <v>4565</v>
      </c>
      <c r="N325" s="45" t="s">
        <v>118</v>
      </c>
      <c r="O325" s="45" t="s">
        <v>358</v>
      </c>
    </row>
    <row r="326" spans="1:30">
      <c r="A326" s="56"/>
      <c r="B326" s="56"/>
      <c r="C326" s="56"/>
      <c r="D326" s="300" t="s">
        <v>766</v>
      </c>
      <c r="E326" s="301"/>
      <c r="F326" s="301"/>
      <c r="G326" s="301"/>
      <c r="H326" s="301"/>
      <c r="I326" s="301"/>
      <c r="J326" s="301"/>
      <c r="K326" s="301"/>
      <c r="L326" s="375"/>
      <c r="M326" s="183"/>
      <c r="N326" s="45" t="s">
        <v>137</v>
      </c>
      <c r="O326" s="45" t="s">
        <v>359</v>
      </c>
    </row>
    <row r="327" spans="1:30" ht="33" customHeight="1">
      <c r="A327" s="56"/>
      <c r="B327" s="56"/>
      <c r="C327" s="56"/>
      <c r="D327" s="23" t="s">
        <v>592</v>
      </c>
      <c r="E327" s="42">
        <v>0</v>
      </c>
      <c r="F327" s="42">
        <v>0</v>
      </c>
      <c r="G327" s="42">
        <v>0</v>
      </c>
      <c r="H327" s="42">
        <v>0</v>
      </c>
      <c r="I327" s="42">
        <v>0</v>
      </c>
      <c r="J327" s="42"/>
      <c r="K327" s="42"/>
      <c r="L327" s="42"/>
      <c r="M327" s="150">
        <f t="shared" ref="M327:M342" si="17">SUM(E327:L327)</f>
        <v>0</v>
      </c>
      <c r="N327" s="45" t="s">
        <v>141</v>
      </c>
      <c r="O327" s="45" t="s">
        <v>749</v>
      </c>
      <c r="P327" s="372" t="s">
        <v>360</v>
      </c>
      <c r="Q327" s="373"/>
      <c r="R327" s="373"/>
      <c r="S327" s="373"/>
      <c r="T327" s="373"/>
      <c r="U327" s="373"/>
      <c r="V327" s="373"/>
      <c r="W327" s="373"/>
      <c r="X327" s="373"/>
      <c r="Y327" s="373"/>
      <c r="Z327" s="373"/>
      <c r="AA327" s="373"/>
      <c r="AB327" s="373"/>
      <c r="AC327" s="373"/>
      <c r="AD327" s="374"/>
    </row>
    <row r="328" spans="1:30" ht="28" customHeight="1">
      <c r="A328" s="56"/>
      <c r="B328" s="56"/>
      <c r="C328" s="56"/>
      <c r="D328" s="23" t="s">
        <v>604</v>
      </c>
      <c r="E328" s="42">
        <v>0</v>
      </c>
      <c r="F328" s="42">
        <v>0</v>
      </c>
      <c r="G328" s="42">
        <v>0</v>
      </c>
      <c r="H328" s="42">
        <v>0</v>
      </c>
      <c r="I328" s="42">
        <v>0</v>
      </c>
      <c r="J328" s="42"/>
      <c r="K328" s="42"/>
      <c r="L328" s="42"/>
      <c r="M328" s="150">
        <f t="shared" si="17"/>
        <v>0</v>
      </c>
      <c r="N328" s="45" t="s">
        <v>142</v>
      </c>
      <c r="O328" s="45" t="s">
        <v>750</v>
      </c>
      <c r="P328" s="372" t="s">
        <v>748</v>
      </c>
      <c r="Q328" s="373"/>
      <c r="R328" s="373"/>
      <c r="S328" s="373"/>
      <c r="T328" s="373"/>
      <c r="U328" s="373"/>
      <c r="V328" s="373"/>
      <c r="W328" s="373"/>
      <c r="X328" s="373"/>
      <c r="Y328" s="373"/>
      <c r="Z328" s="373"/>
      <c r="AA328" s="373"/>
      <c r="AB328" s="373"/>
      <c r="AC328" s="373"/>
      <c r="AD328" s="374"/>
    </row>
    <row r="329" spans="1:30" ht="15.5" customHeight="1">
      <c r="A329" s="56"/>
      <c r="B329" s="56"/>
      <c r="C329" s="56"/>
      <c r="D329" s="23" t="s">
        <v>605</v>
      </c>
      <c r="E329" s="42">
        <v>0</v>
      </c>
      <c r="F329" s="42">
        <v>0</v>
      </c>
      <c r="G329" s="42">
        <v>0</v>
      </c>
      <c r="H329" s="42">
        <v>0</v>
      </c>
      <c r="I329" s="42">
        <v>0</v>
      </c>
      <c r="J329" s="42"/>
      <c r="K329" s="42"/>
      <c r="L329" s="42"/>
      <c r="M329" s="150">
        <f t="shared" si="17"/>
        <v>0</v>
      </c>
      <c r="N329" s="45" t="s">
        <v>143</v>
      </c>
      <c r="O329" s="45" t="s">
        <v>751</v>
      </c>
      <c r="P329" s="372" t="s">
        <v>748</v>
      </c>
      <c r="Q329" s="373"/>
      <c r="R329" s="373"/>
      <c r="S329" s="373"/>
      <c r="T329" s="373"/>
      <c r="U329" s="373"/>
      <c r="V329" s="373"/>
      <c r="W329" s="373"/>
      <c r="X329" s="373"/>
      <c r="Y329" s="373"/>
      <c r="Z329" s="373"/>
      <c r="AA329" s="373"/>
      <c r="AB329" s="373"/>
      <c r="AC329" s="373"/>
      <c r="AD329" s="374"/>
    </row>
    <row r="330" spans="1:30" ht="15.5" customHeight="1">
      <c r="A330" s="56"/>
      <c r="B330" s="56"/>
      <c r="C330" s="56"/>
      <c r="D330" s="23" t="s">
        <v>593</v>
      </c>
      <c r="E330" s="42">
        <v>0</v>
      </c>
      <c r="F330" s="42">
        <v>0</v>
      </c>
      <c r="G330" s="42">
        <v>0</v>
      </c>
      <c r="H330" s="42">
        <v>0</v>
      </c>
      <c r="I330" s="42">
        <v>0</v>
      </c>
      <c r="J330" s="42"/>
      <c r="K330" s="42"/>
      <c r="L330" s="42"/>
      <c r="M330" s="150">
        <f t="shared" si="17"/>
        <v>0</v>
      </c>
      <c r="N330" s="45" t="s">
        <v>144</v>
      </c>
      <c r="O330" s="45" t="s">
        <v>752</v>
      </c>
      <c r="P330" s="372" t="s">
        <v>361</v>
      </c>
      <c r="Q330" s="373"/>
      <c r="R330" s="373"/>
      <c r="S330" s="373"/>
      <c r="T330" s="373"/>
      <c r="U330" s="373"/>
      <c r="V330" s="373"/>
      <c r="W330" s="373"/>
      <c r="X330" s="373"/>
      <c r="Y330" s="373"/>
      <c r="Z330" s="373"/>
      <c r="AA330" s="373"/>
      <c r="AB330" s="373"/>
      <c r="AC330" s="373"/>
      <c r="AD330" s="374"/>
    </row>
    <row r="331" spans="1:30" ht="15.5" customHeight="1">
      <c r="A331" s="56"/>
      <c r="B331" s="56"/>
      <c r="C331" s="56"/>
      <c r="D331" s="23" t="s">
        <v>594</v>
      </c>
      <c r="E331" s="42">
        <v>0</v>
      </c>
      <c r="F331" s="42">
        <v>0</v>
      </c>
      <c r="G331" s="42">
        <v>0</v>
      </c>
      <c r="H331" s="42">
        <v>0</v>
      </c>
      <c r="I331" s="42">
        <v>0</v>
      </c>
      <c r="J331" s="42"/>
      <c r="K331" s="42"/>
      <c r="L331" s="42"/>
      <c r="M331" s="150">
        <f t="shared" si="17"/>
        <v>0</v>
      </c>
      <c r="N331" s="45" t="s">
        <v>145</v>
      </c>
      <c r="O331" s="45" t="s">
        <v>753</v>
      </c>
      <c r="P331" s="372" t="s">
        <v>362</v>
      </c>
      <c r="Q331" s="373"/>
      <c r="R331" s="373"/>
      <c r="S331" s="373"/>
      <c r="T331" s="373"/>
      <c r="U331" s="373"/>
      <c r="V331" s="373"/>
      <c r="W331" s="373"/>
      <c r="X331" s="373"/>
      <c r="Y331" s="373"/>
      <c r="Z331" s="373"/>
      <c r="AA331" s="373"/>
      <c r="AB331" s="373"/>
      <c r="AC331" s="373"/>
      <c r="AD331" s="374"/>
    </row>
    <row r="332" spans="1:30" ht="31" customHeight="1">
      <c r="A332" s="56"/>
      <c r="B332" s="56"/>
      <c r="C332" s="56"/>
      <c r="D332" s="23" t="s">
        <v>595</v>
      </c>
      <c r="E332" s="42">
        <v>0</v>
      </c>
      <c r="F332" s="42">
        <v>0</v>
      </c>
      <c r="G332" s="42">
        <v>0</v>
      </c>
      <c r="H332" s="42">
        <v>0</v>
      </c>
      <c r="I332" s="42">
        <v>0</v>
      </c>
      <c r="J332" s="42"/>
      <c r="K332" s="42"/>
      <c r="L332" s="42"/>
      <c r="M332" s="150">
        <f t="shared" si="17"/>
        <v>0</v>
      </c>
      <c r="N332" s="45" t="s">
        <v>146</v>
      </c>
      <c r="O332" s="45" t="s">
        <v>754</v>
      </c>
      <c r="P332" s="325" t="s">
        <v>363</v>
      </c>
      <c r="Q332" s="326"/>
      <c r="R332" s="326"/>
      <c r="S332" s="326"/>
      <c r="T332" s="326"/>
      <c r="U332" s="326"/>
      <c r="V332" s="326"/>
      <c r="W332" s="326"/>
      <c r="X332" s="326"/>
      <c r="Y332" s="326"/>
      <c r="Z332" s="326"/>
      <c r="AA332" s="326"/>
      <c r="AB332" s="326"/>
      <c r="AC332" s="326"/>
      <c r="AD332" s="327"/>
    </row>
    <row r="333" spans="1:30" ht="88.5" customHeight="1">
      <c r="A333" s="56"/>
      <c r="B333" s="56"/>
      <c r="C333" s="56"/>
      <c r="D333" s="23" t="s">
        <v>596</v>
      </c>
      <c r="E333" s="42">
        <v>0</v>
      </c>
      <c r="F333" s="42">
        <v>0</v>
      </c>
      <c r="G333" s="42">
        <v>0</v>
      </c>
      <c r="H333" s="42">
        <v>0</v>
      </c>
      <c r="I333" s="42">
        <v>0</v>
      </c>
      <c r="J333" s="42"/>
      <c r="K333" s="42"/>
      <c r="L333" s="42"/>
      <c r="M333" s="150">
        <f t="shared" si="17"/>
        <v>0</v>
      </c>
      <c r="N333" s="45" t="s">
        <v>148</v>
      </c>
      <c r="O333" s="45" t="s">
        <v>755</v>
      </c>
      <c r="P333" s="325" t="s">
        <v>364</v>
      </c>
      <c r="Q333" s="326"/>
      <c r="R333" s="326"/>
      <c r="S333" s="326"/>
      <c r="T333" s="326"/>
      <c r="U333" s="326"/>
      <c r="V333" s="326"/>
      <c r="W333" s="326"/>
      <c r="X333" s="326"/>
      <c r="Y333" s="326"/>
      <c r="Z333" s="326"/>
      <c r="AA333" s="326"/>
      <c r="AB333" s="326"/>
      <c r="AC333" s="326"/>
      <c r="AD333" s="327"/>
    </row>
    <row r="334" spans="1:30" ht="33" customHeight="1">
      <c r="A334" s="56"/>
      <c r="B334" s="56"/>
      <c r="C334" s="56"/>
      <c r="D334" s="23" t="s">
        <v>597</v>
      </c>
      <c r="E334" s="42">
        <v>0</v>
      </c>
      <c r="F334" s="42">
        <v>0</v>
      </c>
      <c r="G334" s="42">
        <v>0</v>
      </c>
      <c r="H334" s="42">
        <v>0</v>
      </c>
      <c r="I334" s="42">
        <v>0</v>
      </c>
      <c r="J334" s="42"/>
      <c r="K334" s="42"/>
      <c r="L334" s="42"/>
      <c r="M334" s="150">
        <f t="shared" si="17"/>
        <v>0</v>
      </c>
      <c r="N334" s="45" t="s">
        <v>150</v>
      </c>
      <c r="O334" s="45" t="s">
        <v>756</v>
      </c>
      <c r="P334" s="325" t="s">
        <v>365</v>
      </c>
      <c r="Q334" s="326"/>
      <c r="R334" s="326"/>
      <c r="S334" s="326"/>
      <c r="T334" s="326"/>
      <c r="U334" s="326"/>
      <c r="V334" s="326"/>
      <c r="W334" s="326"/>
      <c r="X334" s="326"/>
      <c r="Y334" s="326"/>
      <c r="Z334" s="326"/>
      <c r="AA334" s="326"/>
      <c r="AB334" s="326"/>
      <c r="AC334" s="326"/>
      <c r="AD334" s="327"/>
    </row>
    <row r="335" spans="1:30" ht="15.5" customHeight="1">
      <c r="A335" s="56"/>
      <c r="B335" s="56"/>
      <c r="C335" s="56"/>
      <c r="D335" s="23" t="s">
        <v>598</v>
      </c>
      <c r="E335" s="42">
        <v>0</v>
      </c>
      <c r="F335" s="42">
        <v>0</v>
      </c>
      <c r="G335" s="42">
        <v>0</v>
      </c>
      <c r="H335" s="42">
        <v>0</v>
      </c>
      <c r="I335" s="42">
        <v>0</v>
      </c>
      <c r="J335" s="42">
        <v>0</v>
      </c>
      <c r="K335" s="42">
        <v>0</v>
      </c>
      <c r="L335" s="42">
        <v>0</v>
      </c>
      <c r="M335" s="150">
        <f t="shared" si="17"/>
        <v>0</v>
      </c>
      <c r="N335" s="45" t="s">
        <v>151</v>
      </c>
      <c r="O335" s="45" t="s">
        <v>757</v>
      </c>
      <c r="P335" s="325" t="s">
        <v>366</v>
      </c>
      <c r="Q335" s="326"/>
      <c r="R335" s="326"/>
      <c r="S335" s="326"/>
      <c r="T335" s="326"/>
      <c r="U335" s="326"/>
      <c r="V335" s="326"/>
      <c r="W335" s="326"/>
      <c r="X335" s="326"/>
      <c r="Y335" s="326"/>
      <c r="Z335" s="326"/>
      <c r="AA335" s="326"/>
      <c r="AB335" s="326"/>
      <c r="AC335" s="326"/>
      <c r="AD335" s="327"/>
    </row>
    <row r="336" spans="1:30" ht="48" customHeight="1">
      <c r="A336" s="56"/>
      <c r="B336" s="56"/>
      <c r="C336" s="56"/>
      <c r="D336" s="23" t="s">
        <v>599</v>
      </c>
      <c r="E336" s="42">
        <v>0</v>
      </c>
      <c r="F336" s="42">
        <v>0</v>
      </c>
      <c r="G336" s="42">
        <v>0</v>
      </c>
      <c r="H336" s="42">
        <v>0</v>
      </c>
      <c r="I336" s="42">
        <v>0</v>
      </c>
      <c r="J336" s="42"/>
      <c r="K336" s="42"/>
      <c r="L336" s="42"/>
      <c r="M336" s="150">
        <f t="shared" si="17"/>
        <v>0</v>
      </c>
      <c r="N336" s="45" t="s">
        <v>152</v>
      </c>
      <c r="O336" s="45" t="s">
        <v>758</v>
      </c>
      <c r="P336" s="325" t="s">
        <v>367</v>
      </c>
      <c r="Q336" s="326"/>
      <c r="R336" s="326"/>
      <c r="S336" s="326"/>
      <c r="T336" s="326"/>
      <c r="U336" s="326"/>
      <c r="V336" s="326"/>
      <c r="W336" s="326"/>
      <c r="X336" s="326"/>
      <c r="Y336" s="326"/>
      <c r="Z336" s="326"/>
      <c r="AA336" s="326"/>
      <c r="AB336" s="326"/>
      <c r="AC336" s="326"/>
      <c r="AD336" s="327"/>
    </row>
    <row r="337" spans="1:30" ht="30.5" customHeight="1">
      <c r="A337" s="56"/>
      <c r="B337" s="56"/>
      <c r="C337" s="56"/>
      <c r="D337" s="23" t="s">
        <v>606</v>
      </c>
      <c r="E337" s="42">
        <v>0</v>
      </c>
      <c r="F337" s="42">
        <v>0</v>
      </c>
      <c r="G337" s="42">
        <v>0</v>
      </c>
      <c r="H337" s="42">
        <v>0</v>
      </c>
      <c r="I337" s="42">
        <v>0</v>
      </c>
      <c r="J337" s="42"/>
      <c r="K337" s="42"/>
      <c r="L337" s="42"/>
      <c r="M337" s="150">
        <f t="shared" si="17"/>
        <v>0</v>
      </c>
      <c r="N337" s="45" t="s">
        <v>153</v>
      </c>
      <c r="O337" s="45" t="s">
        <v>759</v>
      </c>
      <c r="P337" s="325" t="s">
        <v>368</v>
      </c>
      <c r="Q337" s="326"/>
      <c r="R337" s="326"/>
      <c r="S337" s="326"/>
      <c r="T337" s="326"/>
      <c r="U337" s="326"/>
      <c r="V337" s="326"/>
      <c r="W337" s="326"/>
      <c r="X337" s="326"/>
      <c r="Y337" s="326"/>
      <c r="Z337" s="326"/>
      <c r="AA337" s="326"/>
      <c r="AB337" s="326"/>
      <c r="AC337" s="326"/>
      <c r="AD337" s="327"/>
    </row>
    <row r="338" spans="1:30" ht="33" customHeight="1">
      <c r="A338" s="56"/>
      <c r="B338" s="56"/>
      <c r="C338" s="56"/>
      <c r="D338" s="23" t="s">
        <v>607</v>
      </c>
      <c r="E338" s="42">
        <v>0</v>
      </c>
      <c r="F338" s="42">
        <v>0</v>
      </c>
      <c r="G338" s="42">
        <v>0</v>
      </c>
      <c r="H338" s="42">
        <v>0</v>
      </c>
      <c r="I338" s="42">
        <v>0</v>
      </c>
      <c r="J338" s="42"/>
      <c r="K338" s="42"/>
      <c r="L338" s="42"/>
      <c r="M338" s="150">
        <f t="shared" si="17"/>
        <v>0</v>
      </c>
      <c r="N338" s="45" t="s">
        <v>154</v>
      </c>
      <c r="O338" s="45" t="s">
        <v>760</v>
      </c>
      <c r="P338" s="325" t="s">
        <v>369</v>
      </c>
      <c r="Q338" s="326"/>
      <c r="R338" s="326"/>
      <c r="S338" s="326"/>
      <c r="T338" s="326"/>
      <c r="U338" s="326"/>
      <c r="V338" s="326"/>
      <c r="W338" s="326"/>
      <c r="X338" s="326"/>
      <c r="Y338" s="326"/>
      <c r="Z338" s="326"/>
      <c r="AA338" s="326"/>
      <c r="AB338" s="326"/>
      <c r="AC338" s="326"/>
      <c r="AD338" s="327"/>
    </row>
    <row r="339" spans="1:30">
      <c r="A339" s="56"/>
      <c r="B339" s="56"/>
      <c r="C339" s="56"/>
      <c r="D339" s="23" t="s">
        <v>600</v>
      </c>
      <c r="E339" s="42">
        <v>0</v>
      </c>
      <c r="F339" s="42">
        <v>0</v>
      </c>
      <c r="G339" s="42">
        <v>0</v>
      </c>
      <c r="H339" s="42">
        <v>0</v>
      </c>
      <c r="I339" s="42">
        <v>0</v>
      </c>
      <c r="J339" s="42"/>
      <c r="K339" s="42"/>
      <c r="L339" s="42"/>
      <c r="M339" s="150">
        <f t="shared" si="17"/>
        <v>0</v>
      </c>
      <c r="N339" s="45" t="s">
        <v>155</v>
      </c>
      <c r="O339" s="45" t="s">
        <v>761</v>
      </c>
      <c r="P339" s="7"/>
    </row>
    <row r="340" spans="1:30">
      <c r="A340" s="56"/>
      <c r="B340" s="56"/>
      <c r="C340" s="56"/>
      <c r="D340" s="23" t="s">
        <v>601</v>
      </c>
      <c r="E340" s="42">
        <v>0</v>
      </c>
      <c r="F340" s="42">
        <v>0</v>
      </c>
      <c r="G340" s="42">
        <v>0</v>
      </c>
      <c r="H340" s="42">
        <v>0</v>
      </c>
      <c r="I340" s="42">
        <v>0</v>
      </c>
      <c r="J340" s="42">
        <v>0</v>
      </c>
      <c r="K340" s="42">
        <v>0</v>
      </c>
      <c r="L340" s="42">
        <v>0</v>
      </c>
      <c r="M340" s="150">
        <f t="shared" si="17"/>
        <v>0</v>
      </c>
      <c r="N340" s="45" t="s">
        <v>156</v>
      </c>
      <c r="O340" s="45" t="s">
        <v>762</v>
      </c>
      <c r="P340" s="7"/>
    </row>
    <row r="341" spans="1:30">
      <c r="A341" s="56"/>
      <c r="B341" s="56"/>
      <c r="C341" s="56"/>
      <c r="D341" s="23" t="s">
        <v>602</v>
      </c>
      <c r="E341" s="42">
        <v>0</v>
      </c>
      <c r="F341" s="42">
        <v>0</v>
      </c>
      <c r="G341" s="42">
        <v>0</v>
      </c>
      <c r="H341" s="42">
        <v>0</v>
      </c>
      <c r="I341" s="42">
        <v>0</v>
      </c>
      <c r="J341" s="42">
        <v>0</v>
      </c>
      <c r="K341" s="42">
        <v>0</v>
      </c>
      <c r="L341" s="42">
        <v>0</v>
      </c>
      <c r="M341" s="150">
        <f>SUM(E341:L341)</f>
        <v>0</v>
      </c>
      <c r="N341" s="45" t="s">
        <v>157</v>
      </c>
      <c r="O341" s="45" t="s">
        <v>763</v>
      </c>
      <c r="P341" s="7"/>
    </row>
    <row r="342" spans="1:30" ht="15.5" customHeight="1">
      <c r="A342" s="56"/>
      <c r="B342" s="56"/>
      <c r="C342" s="56"/>
      <c r="D342" s="23" t="s">
        <v>603</v>
      </c>
      <c r="E342" s="42">
        <v>0</v>
      </c>
      <c r="F342" s="42">
        <v>0</v>
      </c>
      <c r="G342" s="42">
        <v>0</v>
      </c>
      <c r="H342" s="42">
        <v>0</v>
      </c>
      <c r="I342" s="42">
        <v>0</v>
      </c>
      <c r="J342" s="42">
        <v>0</v>
      </c>
      <c r="K342" s="42">
        <v>0</v>
      </c>
      <c r="L342" s="42">
        <v>0</v>
      </c>
      <c r="M342" s="150">
        <f t="shared" si="17"/>
        <v>0</v>
      </c>
      <c r="N342" s="45" t="s">
        <v>159</v>
      </c>
      <c r="O342" s="45" t="s">
        <v>764</v>
      </c>
      <c r="P342" s="7"/>
    </row>
    <row r="343" spans="1:30" ht="37" customHeight="1">
      <c r="A343" s="56"/>
      <c r="B343" s="56"/>
      <c r="C343" s="56"/>
      <c r="D343" s="175" t="s">
        <v>767</v>
      </c>
      <c r="E343" s="181">
        <f>E325+SUM(E327:E342)</f>
        <v>4565</v>
      </c>
      <c r="F343" s="181">
        <f t="shared" ref="F343:M343" si="18">F325+SUM(F327:F342)</f>
        <v>0</v>
      </c>
      <c r="G343" s="181">
        <f t="shared" si="18"/>
        <v>0</v>
      </c>
      <c r="H343" s="181">
        <f t="shared" si="18"/>
        <v>0</v>
      </c>
      <c r="I343" s="181">
        <f t="shared" si="18"/>
        <v>0</v>
      </c>
      <c r="J343" s="181">
        <f t="shared" si="18"/>
        <v>0</v>
      </c>
      <c r="K343" s="181">
        <f t="shared" si="18"/>
        <v>0</v>
      </c>
      <c r="L343" s="181">
        <f t="shared" si="18"/>
        <v>0</v>
      </c>
      <c r="M343" s="184">
        <f t="shared" si="18"/>
        <v>4565</v>
      </c>
      <c r="N343" s="45" t="s">
        <v>128</v>
      </c>
      <c r="O343" s="45" t="s">
        <v>359</v>
      </c>
      <c r="P343" s="325" t="s">
        <v>370</v>
      </c>
      <c r="Q343" s="326"/>
      <c r="R343" s="326"/>
      <c r="S343" s="326"/>
      <c r="T343" s="326"/>
      <c r="U343" s="326"/>
      <c r="V343" s="326"/>
      <c r="W343" s="326"/>
      <c r="X343" s="326"/>
      <c r="Y343" s="326"/>
      <c r="Z343" s="326"/>
      <c r="AA343" s="326"/>
      <c r="AB343" s="326"/>
      <c r="AC343" s="326"/>
      <c r="AD343" s="327"/>
    </row>
    <row r="344" spans="1:30">
      <c r="A344" s="56"/>
      <c r="B344" s="56"/>
      <c r="C344" s="56"/>
      <c r="D344" s="43" t="s">
        <v>768</v>
      </c>
      <c r="E344" s="42">
        <v>0</v>
      </c>
      <c r="F344" s="42">
        <v>0</v>
      </c>
      <c r="G344" s="42">
        <v>0</v>
      </c>
      <c r="H344" s="42">
        <v>0</v>
      </c>
      <c r="I344" s="42"/>
      <c r="J344" s="42"/>
      <c r="K344" s="42"/>
      <c r="L344" s="42"/>
      <c r="M344" s="150">
        <f>SUM(E344:L344)</f>
        <v>0</v>
      </c>
      <c r="N344" s="45" t="s">
        <v>130</v>
      </c>
      <c r="O344" s="45" t="s">
        <v>371</v>
      </c>
    </row>
    <row r="345" spans="1:30" ht="31">
      <c r="A345" s="56"/>
      <c r="B345" s="56"/>
      <c r="C345" s="56"/>
      <c r="D345" s="43" t="s">
        <v>770</v>
      </c>
      <c r="E345" s="42">
        <v>0</v>
      </c>
      <c r="F345" s="42">
        <v>0</v>
      </c>
      <c r="G345" s="42">
        <v>0</v>
      </c>
      <c r="H345" s="42">
        <v>0</v>
      </c>
      <c r="I345" s="42">
        <v>0</v>
      </c>
      <c r="J345" s="42">
        <v>0</v>
      </c>
      <c r="K345" s="42">
        <v>0</v>
      </c>
      <c r="L345" s="42">
        <v>0</v>
      </c>
      <c r="M345" s="150">
        <f>SUM(E345:L345)</f>
        <v>0</v>
      </c>
      <c r="N345" s="45" t="s">
        <v>132</v>
      </c>
      <c r="O345" s="45" t="s">
        <v>372</v>
      </c>
    </row>
    <row r="346" spans="1:30" ht="16" thickBot="1">
      <c r="A346" s="56"/>
      <c r="B346" s="56"/>
      <c r="C346" s="56"/>
      <c r="D346" s="176" t="s">
        <v>769</v>
      </c>
      <c r="E346" s="185">
        <f>+E343+E344+E345</f>
        <v>4565</v>
      </c>
      <c r="F346" s="185">
        <f t="shared" ref="F346:M346" si="19">+F343+F344+F345</f>
        <v>0</v>
      </c>
      <c r="G346" s="185">
        <f t="shared" si="19"/>
        <v>0</v>
      </c>
      <c r="H346" s="185">
        <f t="shared" si="19"/>
        <v>0</v>
      </c>
      <c r="I346" s="185">
        <f t="shared" si="19"/>
        <v>0</v>
      </c>
      <c r="J346" s="185">
        <f t="shared" si="19"/>
        <v>0</v>
      </c>
      <c r="K346" s="185">
        <f t="shared" si="19"/>
        <v>0</v>
      </c>
      <c r="L346" s="185">
        <f t="shared" si="19"/>
        <v>0</v>
      </c>
      <c r="M346" s="186">
        <f t="shared" si="19"/>
        <v>4565</v>
      </c>
      <c r="N346" s="45" t="s">
        <v>343</v>
      </c>
      <c r="O346" s="45" t="s">
        <v>373</v>
      </c>
    </row>
    <row r="347" spans="1:30" ht="16" thickBot="1">
      <c r="A347" s="56"/>
      <c r="B347" s="56"/>
      <c r="C347" s="56"/>
      <c r="D347" s="4"/>
      <c r="E347" s="182"/>
      <c r="F347" s="182"/>
      <c r="G347" s="182"/>
      <c r="H347" s="182"/>
      <c r="I347" s="182"/>
      <c r="J347" s="182"/>
      <c r="K347" s="182"/>
      <c r="L347" s="182"/>
      <c r="M347" s="182"/>
      <c r="N347" s="56"/>
    </row>
    <row r="348" spans="1:30" ht="16" thickBot="1">
      <c r="A348" s="56"/>
      <c r="B348" s="56"/>
      <c r="C348" s="56"/>
      <c r="D348" s="296" t="s">
        <v>376</v>
      </c>
      <c r="E348" s="297"/>
      <c r="F348" s="297"/>
      <c r="G348" s="297"/>
      <c r="H348" s="297"/>
      <c r="I348" s="297"/>
      <c r="J348" s="297"/>
      <c r="K348" s="297"/>
      <c r="L348" s="297"/>
      <c r="M348" s="45" t="s">
        <v>375</v>
      </c>
    </row>
    <row r="349" spans="1:30" ht="16" thickBot="1">
      <c r="A349" s="56"/>
      <c r="B349" s="56"/>
      <c r="C349" s="56"/>
      <c r="D349" s="191" t="s">
        <v>377</v>
      </c>
      <c r="E349" s="192" t="str">
        <f>+E324</f>
        <v>Nord Stream AG (Stateless Permanent Establishment Denmark)</v>
      </c>
      <c r="F349" s="192">
        <f t="shared" ref="F349:L349" si="20">+F324</f>
        <v>0</v>
      </c>
      <c r="G349" s="192">
        <f t="shared" si="20"/>
        <v>0</v>
      </c>
      <c r="H349" s="192">
        <f t="shared" si="20"/>
        <v>0</v>
      </c>
      <c r="I349" s="192">
        <f t="shared" si="20"/>
        <v>0</v>
      </c>
      <c r="J349" s="192">
        <f t="shared" si="20"/>
        <v>0</v>
      </c>
      <c r="K349" s="192">
        <f t="shared" si="20"/>
        <v>0</v>
      </c>
      <c r="L349" s="192">
        <f t="shared" si="20"/>
        <v>0</v>
      </c>
      <c r="M349" s="45" t="s">
        <v>245</v>
      </c>
      <c r="O349" s="14"/>
    </row>
    <row r="350" spans="1:30" ht="16" thickBot="1">
      <c r="A350" s="56"/>
      <c r="B350" s="56"/>
      <c r="C350" s="56"/>
      <c r="D350" s="376" t="s">
        <v>809</v>
      </c>
      <c r="E350" s="377"/>
      <c r="F350" s="377"/>
      <c r="G350" s="377"/>
      <c r="H350" s="377"/>
      <c r="I350" s="377"/>
      <c r="J350" s="377"/>
      <c r="K350" s="377"/>
      <c r="L350" s="378"/>
      <c r="M350" s="45"/>
      <c r="O350" s="14"/>
    </row>
    <row r="351" spans="1:30">
      <c r="A351" s="56"/>
      <c r="B351" s="56"/>
      <c r="C351" s="56"/>
      <c r="D351" s="193" t="s">
        <v>810</v>
      </c>
      <c r="E351" s="194" t="s">
        <v>650</v>
      </c>
      <c r="F351" s="194" t="s">
        <v>648</v>
      </c>
      <c r="G351" s="194" t="s">
        <v>648</v>
      </c>
      <c r="H351" s="194" t="s">
        <v>648</v>
      </c>
      <c r="I351" s="194" t="s">
        <v>648</v>
      </c>
      <c r="J351" s="194" t="s">
        <v>648</v>
      </c>
      <c r="K351" s="194" t="s">
        <v>648</v>
      </c>
      <c r="L351" s="195" t="s">
        <v>648</v>
      </c>
      <c r="M351" s="45" t="s">
        <v>383</v>
      </c>
      <c r="N351" s="56"/>
      <c r="O351" s="325" t="s">
        <v>384</v>
      </c>
      <c r="P351" s="326"/>
      <c r="Q351" s="326"/>
      <c r="R351" s="326"/>
      <c r="S351" s="326"/>
      <c r="T351" s="326"/>
      <c r="U351" s="326"/>
      <c r="V351" s="326"/>
      <c r="W351" s="326"/>
      <c r="X351" s="326"/>
      <c r="Y351" s="326"/>
      <c r="Z351" s="326"/>
      <c r="AA351" s="326"/>
      <c r="AB351" s="326"/>
      <c r="AC351" s="327"/>
    </row>
    <row r="352" spans="1:30" ht="15" customHeight="1">
      <c r="A352" s="56"/>
      <c r="B352" s="56"/>
      <c r="C352" s="56"/>
      <c r="D352" s="196" t="s">
        <v>386</v>
      </c>
      <c r="E352" s="42" t="s">
        <v>650</v>
      </c>
      <c r="F352" s="42" t="s">
        <v>648</v>
      </c>
      <c r="G352" s="42" t="s">
        <v>648</v>
      </c>
      <c r="H352" s="42" t="s">
        <v>648</v>
      </c>
      <c r="I352" s="42" t="s">
        <v>648</v>
      </c>
      <c r="J352" s="42" t="s">
        <v>648</v>
      </c>
      <c r="K352" s="42" t="s">
        <v>648</v>
      </c>
      <c r="L352" s="41" t="s">
        <v>648</v>
      </c>
      <c r="M352" s="45" t="s">
        <v>385</v>
      </c>
      <c r="N352" s="56"/>
      <c r="O352" s="7"/>
    </row>
    <row r="353" spans="1:29" ht="15" customHeight="1" thickBot="1">
      <c r="A353" s="56"/>
      <c r="B353" s="56"/>
      <c r="C353" s="56"/>
      <c r="D353" s="197" t="s">
        <v>811</v>
      </c>
      <c r="E353" s="106" t="s">
        <v>650</v>
      </c>
      <c r="F353" s="106" t="s">
        <v>648</v>
      </c>
      <c r="G353" s="106" t="s">
        <v>648</v>
      </c>
      <c r="H353" s="106" t="s">
        <v>648</v>
      </c>
      <c r="I353" s="106" t="s">
        <v>648</v>
      </c>
      <c r="J353" s="106" t="s">
        <v>648</v>
      </c>
      <c r="K353" s="106" t="s">
        <v>648</v>
      </c>
      <c r="L353" s="99" t="s">
        <v>648</v>
      </c>
      <c r="M353" s="56"/>
      <c r="N353" s="56"/>
      <c r="O353" s="7"/>
    </row>
    <row r="354" spans="1:29" ht="15" customHeight="1" thickBot="1">
      <c r="A354" s="56"/>
      <c r="B354" s="56"/>
      <c r="C354" s="56"/>
      <c r="D354" s="376" t="s">
        <v>812</v>
      </c>
      <c r="E354" s="377"/>
      <c r="F354" s="377"/>
      <c r="G354" s="377"/>
      <c r="H354" s="377"/>
      <c r="I354" s="377"/>
      <c r="J354" s="377"/>
      <c r="K354" s="377"/>
      <c r="L354" s="378"/>
      <c r="M354" s="56"/>
      <c r="N354" s="56"/>
      <c r="O354" s="7"/>
    </row>
    <row r="355" spans="1:29" ht="15" customHeight="1">
      <c r="A355" s="56"/>
      <c r="B355" s="56"/>
      <c r="C355" s="56"/>
      <c r="D355" s="193" t="s">
        <v>813</v>
      </c>
      <c r="E355" s="194" t="s">
        <v>650</v>
      </c>
      <c r="F355" s="194" t="s">
        <v>650</v>
      </c>
      <c r="G355" s="194" t="s">
        <v>650</v>
      </c>
      <c r="H355" s="194" t="s">
        <v>650</v>
      </c>
      <c r="I355" s="194" t="s">
        <v>650</v>
      </c>
      <c r="J355" s="194" t="s">
        <v>648</v>
      </c>
      <c r="K355" s="194" t="s">
        <v>648</v>
      </c>
      <c r="L355" s="195" t="s">
        <v>648</v>
      </c>
      <c r="M355" s="45" t="s">
        <v>378</v>
      </c>
      <c r="O355" s="14"/>
    </row>
    <row r="356" spans="1:29" ht="15" customHeight="1">
      <c r="A356" s="56"/>
      <c r="B356" s="56"/>
      <c r="C356" s="56"/>
      <c r="D356" s="93" t="s">
        <v>380</v>
      </c>
      <c r="E356" s="42" t="s">
        <v>819</v>
      </c>
      <c r="F356" s="42" t="s">
        <v>819</v>
      </c>
      <c r="G356" s="42" t="s">
        <v>819</v>
      </c>
      <c r="H356" s="42" t="s">
        <v>819</v>
      </c>
      <c r="I356" s="42" t="s">
        <v>819</v>
      </c>
      <c r="J356" s="42" t="s">
        <v>819</v>
      </c>
      <c r="K356" s="42" t="s">
        <v>819</v>
      </c>
      <c r="L356" s="42" t="s">
        <v>819</v>
      </c>
      <c r="M356" s="45" t="s">
        <v>379</v>
      </c>
      <c r="N356" s="56"/>
      <c r="O356" s="7"/>
      <c r="P356" s="7"/>
      <c r="Q356" s="7"/>
      <c r="R356" s="7"/>
      <c r="S356" s="7"/>
      <c r="T356" s="7"/>
      <c r="U356" s="7"/>
      <c r="V356" s="7"/>
      <c r="W356" s="7"/>
      <c r="X356" s="7"/>
      <c r="Y356" s="7"/>
      <c r="Z356" s="7"/>
      <c r="AA356" s="7"/>
      <c r="AB356" s="7"/>
    </row>
    <row r="357" spans="1:29" ht="15" customHeight="1" thickBot="1">
      <c r="A357" s="56"/>
      <c r="B357" s="56"/>
      <c r="C357" s="56"/>
      <c r="D357" s="158" t="s">
        <v>382</v>
      </c>
      <c r="E357" s="106" t="s">
        <v>820</v>
      </c>
      <c r="F357" s="106" t="s">
        <v>820</v>
      </c>
      <c r="G357" s="106" t="s">
        <v>820</v>
      </c>
      <c r="H357" s="106" t="s">
        <v>820</v>
      </c>
      <c r="I357" s="106" t="s">
        <v>820</v>
      </c>
      <c r="J357" s="106" t="s">
        <v>820</v>
      </c>
      <c r="K357" s="106" t="s">
        <v>820</v>
      </c>
      <c r="L357" s="106" t="s">
        <v>820</v>
      </c>
      <c r="M357" s="45" t="s">
        <v>381</v>
      </c>
      <c r="N357" s="7"/>
    </row>
    <row r="358" spans="1:29" ht="15" customHeight="1">
      <c r="A358" s="56"/>
      <c r="B358" s="56"/>
      <c r="C358" s="56"/>
      <c r="D358" s="193" t="s">
        <v>814</v>
      </c>
      <c r="E358" s="194" t="s">
        <v>650</v>
      </c>
      <c r="F358" s="194" t="s">
        <v>650</v>
      </c>
      <c r="G358" s="194" t="s">
        <v>650</v>
      </c>
      <c r="H358" s="194" t="s">
        <v>650</v>
      </c>
      <c r="I358" s="194" t="s">
        <v>650</v>
      </c>
      <c r="J358" s="194" t="s">
        <v>648</v>
      </c>
      <c r="K358" s="194" t="s">
        <v>648</v>
      </c>
      <c r="L358" s="195" t="s">
        <v>648</v>
      </c>
      <c r="M358" s="45" t="s">
        <v>387</v>
      </c>
      <c r="N358" s="56"/>
      <c r="O358" s="7"/>
    </row>
    <row r="359" spans="1:29" ht="15" customHeight="1">
      <c r="A359" s="56"/>
      <c r="B359" s="56"/>
      <c r="C359" s="56"/>
      <c r="D359" s="93" t="s">
        <v>380</v>
      </c>
      <c r="E359" s="42" t="s">
        <v>819</v>
      </c>
      <c r="F359" s="42" t="s">
        <v>819</v>
      </c>
      <c r="G359" s="42" t="s">
        <v>819</v>
      </c>
      <c r="H359" s="42" t="s">
        <v>819</v>
      </c>
      <c r="I359" s="42" t="s">
        <v>819</v>
      </c>
      <c r="J359" s="42" t="s">
        <v>819</v>
      </c>
      <c r="K359" s="42" t="s">
        <v>819</v>
      </c>
      <c r="L359" s="42" t="s">
        <v>819</v>
      </c>
      <c r="M359" s="45" t="s">
        <v>379</v>
      </c>
      <c r="N359" s="56"/>
      <c r="O359" s="7"/>
    </row>
    <row r="360" spans="1:29" ht="15" customHeight="1" thickBot="1">
      <c r="A360" s="56"/>
      <c r="B360" s="56"/>
      <c r="C360" s="56"/>
      <c r="D360" s="158" t="s">
        <v>382</v>
      </c>
      <c r="E360" s="106" t="s">
        <v>820</v>
      </c>
      <c r="F360" s="106" t="s">
        <v>820</v>
      </c>
      <c r="G360" s="106" t="s">
        <v>820</v>
      </c>
      <c r="H360" s="106" t="s">
        <v>820</v>
      </c>
      <c r="I360" s="106" t="s">
        <v>820</v>
      </c>
      <c r="J360" s="106" t="s">
        <v>820</v>
      </c>
      <c r="K360" s="106" t="s">
        <v>820</v>
      </c>
      <c r="L360" s="106" t="s">
        <v>820</v>
      </c>
      <c r="M360" s="45" t="s">
        <v>381</v>
      </c>
      <c r="N360" s="56"/>
      <c r="O360" s="7"/>
    </row>
    <row r="361" spans="1:29">
      <c r="A361" s="56"/>
      <c r="B361" s="56"/>
      <c r="C361" s="56"/>
      <c r="D361" s="193" t="s">
        <v>816</v>
      </c>
      <c r="E361" s="194" t="s">
        <v>650</v>
      </c>
      <c r="F361" s="194" t="s">
        <v>650</v>
      </c>
      <c r="G361" s="194" t="s">
        <v>650</v>
      </c>
      <c r="H361" s="194" t="s">
        <v>650</v>
      </c>
      <c r="I361" s="194" t="s">
        <v>650</v>
      </c>
      <c r="J361" s="194" t="s">
        <v>648</v>
      </c>
      <c r="K361" s="194" t="s">
        <v>648</v>
      </c>
      <c r="L361" s="195" t="s">
        <v>648</v>
      </c>
      <c r="M361" s="45" t="s">
        <v>388</v>
      </c>
      <c r="N361" s="56"/>
      <c r="O361" s="7"/>
    </row>
    <row r="362" spans="1:29" ht="15" customHeight="1">
      <c r="A362" s="56"/>
      <c r="B362" s="56"/>
      <c r="C362" s="56"/>
      <c r="D362" s="93" t="s">
        <v>380</v>
      </c>
      <c r="E362" s="42" t="s">
        <v>819</v>
      </c>
      <c r="F362" s="42" t="s">
        <v>819</v>
      </c>
      <c r="G362" s="42" t="s">
        <v>819</v>
      </c>
      <c r="H362" s="42" t="s">
        <v>819</v>
      </c>
      <c r="I362" s="42" t="s">
        <v>819</v>
      </c>
      <c r="J362" s="42" t="s">
        <v>819</v>
      </c>
      <c r="K362" s="42" t="s">
        <v>819</v>
      </c>
      <c r="L362" s="42" t="s">
        <v>819</v>
      </c>
      <c r="M362" s="45" t="s">
        <v>379</v>
      </c>
      <c r="N362" s="56"/>
      <c r="O362" s="7"/>
    </row>
    <row r="363" spans="1:29" ht="15" customHeight="1" thickBot="1">
      <c r="A363" s="56"/>
      <c r="B363" s="56"/>
      <c r="C363" s="56"/>
      <c r="D363" s="158" t="s">
        <v>382</v>
      </c>
      <c r="E363" s="106" t="s">
        <v>820</v>
      </c>
      <c r="F363" s="106" t="s">
        <v>820</v>
      </c>
      <c r="G363" s="106" t="s">
        <v>820</v>
      </c>
      <c r="H363" s="106" t="s">
        <v>820</v>
      </c>
      <c r="I363" s="106" t="s">
        <v>820</v>
      </c>
      <c r="J363" s="106" t="s">
        <v>820</v>
      </c>
      <c r="K363" s="106" t="s">
        <v>820</v>
      </c>
      <c r="L363" s="106" t="s">
        <v>820</v>
      </c>
      <c r="M363" s="45" t="s">
        <v>381</v>
      </c>
      <c r="N363" s="56"/>
      <c r="O363" s="7"/>
    </row>
    <row r="364" spans="1:29" ht="15" customHeight="1">
      <c r="A364" s="56"/>
      <c r="B364" s="56"/>
      <c r="C364" s="56"/>
      <c r="D364" s="193" t="s">
        <v>399</v>
      </c>
      <c r="E364" s="194" t="s">
        <v>650</v>
      </c>
      <c r="F364" s="194" t="s">
        <v>650</v>
      </c>
      <c r="G364" s="194" t="s">
        <v>650</v>
      </c>
      <c r="H364" s="194" t="s">
        <v>650</v>
      </c>
      <c r="I364" s="194" t="s">
        <v>650</v>
      </c>
      <c r="J364" s="194" t="s">
        <v>648</v>
      </c>
      <c r="K364" s="194" t="s">
        <v>648</v>
      </c>
      <c r="L364" s="195" t="s">
        <v>648</v>
      </c>
      <c r="M364" s="45" t="s">
        <v>398</v>
      </c>
      <c r="N364" s="56"/>
      <c r="O364" s="328" t="s">
        <v>400</v>
      </c>
      <c r="P364" s="329"/>
      <c r="Q364" s="329"/>
      <c r="R364" s="329"/>
      <c r="S364" s="329"/>
      <c r="T364" s="329"/>
      <c r="U364" s="329"/>
      <c r="V364" s="329"/>
      <c r="W364" s="329"/>
      <c r="X364" s="329"/>
      <c r="Y364" s="329"/>
      <c r="Z364" s="329"/>
      <c r="AA364" s="329"/>
      <c r="AB364" s="329"/>
      <c r="AC364" s="330"/>
    </row>
    <row r="365" spans="1:29" ht="15" customHeight="1">
      <c r="A365" s="56"/>
      <c r="B365" s="56"/>
      <c r="C365" s="56"/>
      <c r="D365" s="93" t="s">
        <v>380</v>
      </c>
      <c r="E365" s="42" t="s">
        <v>819</v>
      </c>
      <c r="F365" s="42" t="s">
        <v>819</v>
      </c>
      <c r="G365" s="42" t="s">
        <v>819</v>
      </c>
      <c r="H365" s="42" t="s">
        <v>819</v>
      </c>
      <c r="I365" s="42" t="s">
        <v>819</v>
      </c>
      <c r="J365" s="42" t="s">
        <v>819</v>
      </c>
      <c r="K365" s="42" t="s">
        <v>819</v>
      </c>
      <c r="L365" s="42" t="s">
        <v>819</v>
      </c>
      <c r="M365" s="45" t="s">
        <v>379</v>
      </c>
      <c r="N365" s="56"/>
      <c r="O365" s="331"/>
      <c r="P365" s="332"/>
      <c r="Q365" s="332"/>
      <c r="R365" s="332"/>
      <c r="S365" s="332"/>
      <c r="T365" s="332"/>
      <c r="U365" s="332"/>
      <c r="V365" s="332"/>
      <c r="W365" s="332"/>
      <c r="X365" s="332"/>
      <c r="Y365" s="332"/>
      <c r="Z365" s="332"/>
      <c r="AA365" s="332"/>
      <c r="AB365" s="332"/>
      <c r="AC365" s="333"/>
    </row>
    <row r="366" spans="1:29" ht="15" customHeight="1" thickBot="1">
      <c r="A366" s="56"/>
      <c r="B366" s="56"/>
      <c r="C366" s="56"/>
      <c r="D366" s="158" t="s">
        <v>382</v>
      </c>
      <c r="E366" s="106" t="s">
        <v>820</v>
      </c>
      <c r="F366" s="106" t="s">
        <v>820</v>
      </c>
      <c r="G366" s="106" t="s">
        <v>820</v>
      </c>
      <c r="H366" s="106" t="s">
        <v>820</v>
      </c>
      <c r="I366" s="106" t="s">
        <v>820</v>
      </c>
      <c r="J366" s="106" t="s">
        <v>820</v>
      </c>
      <c r="K366" s="106" t="s">
        <v>820</v>
      </c>
      <c r="L366" s="106" t="s">
        <v>820</v>
      </c>
      <c r="M366" s="45" t="s">
        <v>381</v>
      </c>
      <c r="N366" s="56"/>
      <c r="O366" s="331"/>
      <c r="P366" s="332"/>
      <c r="Q366" s="332"/>
      <c r="R366" s="332"/>
      <c r="S366" s="332"/>
      <c r="T366" s="332"/>
      <c r="U366" s="332"/>
      <c r="V366" s="332"/>
      <c r="W366" s="332"/>
      <c r="X366" s="332"/>
      <c r="Y366" s="332"/>
      <c r="Z366" s="332"/>
      <c r="AA366" s="332"/>
      <c r="AB366" s="332"/>
      <c r="AC366" s="333"/>
    </row>
    <row r="367" spans="1:29" ht="14" customHeight="1">
      <c r="A367" s="56"/>
      <c r="B367" s="56"/>
      <c r="C367" s="56"/>
      <c r="D367" s="198" t="s">
        <v>817</v>
      </c>
      <c r="E367" s="194" t="s">
        <v>650</v>
      </c>
      <c r="F367" s="194" t="s">
        <v>650</v>
      </c>
      <c r="G367" s="194" t="s">
        <v>650</v>
      </c>
      <c r="H367" s="194" t="s">
        <v>650</v>
      </c>
      <c r="I367" s="194" t="s">
        <v>650</v>
      </c>
      <c r="J367" s="194" t="s">
        <v>648</v>
      </c>
      <c r="K367" s="194" t="s">
        <v>648</v>
      </c>
      <c r="L367" s="195" t="s">
        <v>648</v>
      </c>
      <c r="M367" s="45" t="s">
        <v>401</v>
      </c>
      <c r="N367" s="56"/>
      <c r="O367" s="334" t="s">
        <v>402</v>
      </c>
      <c r="P367" s="335"/>
      <c r="Q367" s="335"/>
      <c r="R367" s="335"/>
      <c r="S367" s="335"/>
      <c r="T367" s="335"/>
      <c r="U367" s="335"/>
      <c r="V367" s="335"/>
      <c r="W367" s="335"/>
      <c r="X367" s="335"/>
      <c r="Y367" s="335"/>
      <c r="Z367" s="335"/>
      <c r="AA367" s="335"/>
      <c r="AB367" s="335"/>
      <c r="AC367" s="336"/>
    </row>
    <row r="368" spans="1:29" ht="15" customHeight="1">
      <c r="A368" s="56"/>
      <c r="B368" s="56"/>
      <c r="C368" s="56"/>
      <c r="D368" s="93" t="s">
        <v>380</v>
      </c>
      <c r="E368" s="42" t="s">
        <v>819</v>
      </c>
      <c r="F368" s="42" t="s">
        <v>819</v>
      </c>
      <c r="G368" s="42" t="s">
        <v>819</v>
      </c>
      <c r="H368" s="42" t="s">
        <v>819</v>
      </c>
      <c r="I368" s="42" t="s">
        <v>819</v>
      </c>
      <c r="J368" s="42" t="s">
        <v>819</v>
      </c>
      <c r="K368" s="42" t="s">
        <v>819</v>
      </c>
      <c r="L368" s="42" t="s">
        <v>819</v>
      </c>
      <c r="M368" s="45" t="s">
        <v>379</v>
      </c>
      <c r="N368" s="56"/>
      <c r="O368" s="337"/>
      <c r="P368" s="338"/>
      <c r="Q368" s="338"/>
      <c r="R368" s="338"/>
      <c r="S368" s="338"/>
      <c r="T368" s="338"/>
      <c r="U368" s="338"/>
      <c r="V368" s="338"/>
      <c r="W368" s="338"/>
      <c r="X368" s="338"/>
      <c r="Y368" s="338"/>
      <c r="Z368" s="338"/>
      <c r="AA368" s="338"/>
      <c r="AB368" s="338"/>
      <c r="AC368" s="339"/>
    </row>
    <row r="369" spans="1:29" ht="15" customHeight="1" thickBot="1">
      <c r="A369" s="56"/>
      <c r="B369" s="56"/>
      <c r="C369" s="56"/>
      <c r="D369" s="199" t="s">
        <v>382</v>
      </c>
      <c r="E369" s="106" t="s">
        <v>820</v>
      </c>
      <c r="F369" s="106" t="s">
        <v>820</v>
      </c>
      <c r="G369" s="106" t="s">
        <v>820</v>
      </c>
      <c r="H369" s="106" t="s">
        <v>820</v>
      </c>
      <c r="I369" s="106" t="s">
        <v>820</v>
      </c>
      <c r="J369" s="106" t="s">
        <v>820</v>
      </c>
      <c r="K369" s="106" t="s">
        <v>820</v>
      </c>
      <c r="L369" s="106" t="s">
        <v>820</v>
      </c>
      <c r="M369" s="45" t="s">
        <v>381</v>
      </c>
      <c r="N369" s="56"/>
      <c r="O369" s="337"/>
      <c r="P369" s="338"/>
      <c r="Q369" s="338"/>
      <c r="R369" s="338"/>
      <c r="S369" s="338"/>
      <c r="T369" s="338"/>
      <c r="U369" s="338"/>
      <c r="V369" s="338"/>
      <c r="W369" s="338"/>
      <c r="X369" s="338"/>
      <c r="Y369" s="338"/>
      <c r="Z369" s="338"/>
      <c r="AA369" s="338"/>
      <c r="AB369" s="338"/>
      <c r="AC369" s="339"/>
    </row>
    <row r="370" spans="1:29" ht="15" customHeight="1">
      <c r="A370" s="56"/>
      <c r="B370" s="56"/>
      <c r="C370" s="56"/>
      <c r="D370" s="200" t="s">
        <v>815</v>
      </c>
      <c r="E370" s="194" t="s">
        <v>650</v>
      </c>
      <c r="F370" s="194" t="s">
        <v>650</v>
      </c>
      <c r="G370" s="194" t="s">
        <v>650</v>
      </c>
      <c r="H370" s="194" t="s">
        <v>650</v>
      </c>
      <c r="I370" s="194" t="s">
        <v>650</v>
      </c>
      <c r="J370" s="194" t="s">
        <v>648</v>
      </c>
      <c r="K370" s="194" t="s">
        <v>648</v>
      </c>
      <c r="L370" s="195" t="s">
        <v>648</v>
      </c>
      <c r="M370" s="45" t="s">
        <v>394</v>
      </c>
      <c r="N370" s="56"/>
      <c r="O370" s="328" t="s">
        <v>395</v>
      </c>
      <c r="P370" s="329"/>
      <c r="Q370" s="329"/>
      <c r="R370" s="329"/>
      <c r="S370" s="329"/>
      <c r="T370" s="329"/>
      <c r="U370" s="329"/>
      <c r="V370" s="329"/>
      <c r="W370" s="329"/>
      <c r="X370" s="329"/>
      <c r="Y370" s="329"/>
      <c r="Z370" s="329"/>
      <c r="AA370" s="329"/>
      <c r="AB370" s="329"/>
      <c r="AC370" s="330"/>
    </row>
    <row r="371" spans="1:29" ht="15" customHeight="1">
      <c r="A371" s="56"/>
      <c r="B371" s="56"/>
      <c r="C371" s="56"/>
      <c r="D371" s="93" t="s">
        <v>380</v>
      </c>
      <c r="E371" s="42" t="s">
        <v>819</v>
      </c>
      <c r="F371" s="42" t="s">
        <v>819</v>
      </c>
      <c r="G371" s="42" t="s">
        <v>819</v>
      </c>
      <c r="H371" s="42" t="s">
        <v>819</v>
      </c>
      <c r="I371" s="42" t="s">
        <v>819</v>
      </c>
      <c r="J371" s="42" t="s">
        <v>819</v>
      </c>
      <c r="K371" s="42" t="s">
        <v>819</v>
      </c>
      <c r="L371" s="42" t="s">
        <v>819</v>
      </c>
      <c r="M371" s="45" t="s">
        <v>379</v>
      </c>
      <c r="N371" s="56"/>
      <c r="O371" s="331"/>
      <c r="P371" s="332"/>
      <c r="Q371" s="332"/>
      <c r="R371" s="332"/>
      <c r="S371" s="332"/>
      <c r="T371" s="332"/>
      <c r="U371" s="332"/>
      <c r="V371" s="332"/>
      <c r="W371" s="332"/>
      <c r="X371" s="332"/>
      <c r="Y371" s="332"/>
      <c r="Z371" s="332"/>
      <c r="AA371" s="332"/>
      <c r="AB371" s="332"/>
      <c r="AC371" s="333"/>
    </row>
    <row r="372" spans="1:29" ht="15" customHeight="1" thickBot="1">
      <c r="A372" s="56"/>
      <c r="B372" s="56"/>
      <c r="C372" s="56"/>
      <c r="D372" s="199" t="s">
        <v>382</v>
      </c>
      <c r="E372" s="106" t="s">
        <v>820</v>
      </c>
      <c r="F372" s="106" t="s">
        <v>820</v>
      </c>
      <c r="G372" s="106" t="s">
        <v>820</v>
      </c>
      <c r="H372" s="106" t="s">
        <v>820</v>
      </c>
      <c r="I372" s="106" t="s">
        <v>820</v>
      </c>
      <c r="J372" s="106" t="s">
        <v>820</v>
      </c>
      <c r="K372" s="106" t="s">
        <v>820</v>
      </c>
      <c r="L372" s="106" t="s">
        <v>820</v>
      </c>
      <c r="M372" s="45" t="s">
        <v>381</v>
      </c>
      <c r="N372" s="56"/>
      <c r="O372" s="340"/>
      <c r="P372" s="341"/>
      <c r="Q372" s="341"/>
      <c r="R372" s="341"/>
      <c r="S372" s="341"/>
      <c r="T372" s="341"/>
      <c r="U372" s="341"/>
      <c r="V372" s="341"/>
      <c r="W372" s="341"/>
      <c r="X372" s="341"/>
      <c r="Y372" s="341"/>
      <c r="Z372" s="341"/>
      <c r="AA372" s="341"/>
      <c r="AB372" s="341"/>
      <c r="AC372" s="342"/>
    </row>
    <row r="373" spans="1:29" ht="15" customHeight="1">
      <c r="A373" s="56"/>
      <c r="B373" s="56"/>
      <c r="C373" s="56"/>
      <c r="D373" s="200" t="s">
        <v>397</v>
      </c>
      <c r="E373" s="194" t="s">
        <v>650</v>
      </c>
      <c r="F373" s="194" t="s">
        <v>650</v>
      </c>
      <c r="G373" s="194" t="s">
        <v>650</v>
      </c>
      <c r="H373" s="194" t="s">
        <v>650</v>
      </c>
      <c r="I373" s="194" t="s">
        <v>650</v>
      </c>
      <c r="J373" s="194" t="s">
        <v>648</v>
      </c>
      <c r="K373" s="194" t="s">
        <v>648</v>
      </c>
      <c r="L373" s="195" t="s">
        <v>648</v>
      </c>
      <c r="M373" s="45" t="s">
        <v>396</v>
      </c>
      <c r="N373" s="56"/>
      <c r="O373" s="328" t="s">
        <v>59</v>
      </c>
      <c r="P373" s="329"/>
      <c r="Q373" s="329"/>
      <c r="R373" s="329"/>
      <c r="S373" s="329"/>
      <c r="T373" s="329"/>
      <c r="U373" s="329"/>
      <c r="V373" s="329"/>
      <c r="W373" s="329"/>
      <c r="X373" s="329"/>
      <c r="Y373" s="329"/>
      <c r="Z373" s="329"/>
      <c r="AA373" s="329"/>
      <c r="AB373" s="329"/>
      <c r="AC373" s="330"/>
    </row>
    <row r="374" spans="1:29" ht="15" customHeight="1">
      <c r="A374" s="56"/>
      <c r="B374" s="56"/>
      <c r="C374" s="56"/>
      <c r="D374" s="93" t="s">
        <v>380</v>
      </c>
      <c r="E374" s="42" t="s">
        <v>819</v>
      </c>
      <c r="F374" s="42" t="s">
        <v>819</v>
      </c>
      <c r="G374" s="42" t="s">
        <v>819</v>
      </c>
      <c r="H374" s="42" t="s">
        <v>819</v>
      </c>
      <c r="I374" s="42" t="s">
        <v>819</v>
      </c>
      <c r="J374" s="42" t="s">
        <v>819</v>
      </c>
      <c r="K374" s="42" t="s">
        <v>819</v>
      </c>
      <c r="L374" s="42" t="s">
        <v>819</v>
      </c>
      <c r="M374" s="45" t="s">
        <v>379</v>
      </c>
      <c r="N374" s="56"/>
      <c r="O374" s="331"/>
      <c r="P374" s="332"/>
      <c r="Q374" s="332"/>
      <c r="R374" s="332"/>
      <c r="S374" s="332"/>
      <c r="T374" s="332"/>
      <c r="U374" s="332"/>
      <c r="V374" s="332"/>
      <c r="W374" s="332"/>
      <c r="X374" s="332"/>
      <c r="Y374" s="332"/>
      <c r="Z374" s="332"/>
      <c r="AA374" s="332"/>
      <c r="AB374" s="332"/>
      <c r="AC374" s="333"/>
    </row>
    <row r="375" spans="1:29" ht="15" customHeight="1" thickBot="1">
      <c r="A375" s="56"/>
      <c r="B375" s="56"/>
      <c r="C375" s="56"/>
      <c r="D375" s="199" t="s">
        <v>382</v>
      </c>
      <c r="E375" s="172" t="s">
        <v>820</v>
      </c>
      <c r="F375" s="172" t="s">
        <v>820</v>
      </c>
      <c r="G375" s="172" t="s">
        <v>820</v>
      </c>
      <c r="H375" s="172" t="s">
        <v>820</v>
      </c>
      <c r="I375" s="172" t="s">
        <v>820</v>
      </c>
      <c r="J375" s="172" t="s">
        <v>820</v>
      </c>
      <c r="K375" s="172" t="s">
        <v>820</v>
      </c>
      <c r="L375" s="172" t="s">
        <v>820</v>
      </c>
      <c r="M375" s="45" t="s">
        <v>381</v>
      </c>
      <c r="N375" s="56"/>
      <c r="O375" s="340"/>
      <c r="P375" s="341"/>
      <c r="Q375" s="341"/>
      <c r="R375" s="341"/>
      <c r="S375" s="341"/>
      <c r="T375" s="341"/>
      <c r="U375" s="341"/>
      <c r="V375" s="341"/>
      <c r="W375" s="341"/>
      <c r="X375" s="341"/>
      <c r="Y375" s="341"/>
      <c r="Z375" s="341"/>
      <c r="AA375" s="341"/>
      <c r="AB375" s="341"/>
      <c r="AC375" s="342"/>
    </row>
    <row r="376" spans="1:29" ht="14" customHeight="1">
      <c r="A376" s="56"/>
      <c r="B376" s="56"/>
      <c r="C376" s="56"/>
      <c r="D376" s="200" t="s">
        <v>390</v>
      </c>
      <c r="E376" s="194" t="s">
        <v>650</v>
      </c>
      <c r="F376" s="194" t="s">
        <v>650</v>
      </c>
      <c r="G376" s="194" t="s">
        <v>650</v>
      </c>
      <c r="H376" s="194" t="s">
        <v>650</v>
      </c>
      <c r="I376" s="194" t="s">
        <v>650</v>
      </c>
      <c r="J376" s="194" t="s">
        <v>648</v>
      </c>
      <c r="K376" s="194" t="s">
        <v>648</v>
      </c>
      <c r="L376" s="195" t="s">
        <v>648</v>
      </c>
      <c r="M376" s="45" t="s">
        <v>389</v>
      </c>
      <c r="N376" s="56"/>
      <c r="O376" s="7"/>
    </row>
    <row r="377" spans="1:29" ht="15" customHeight="1">
      <c r="A377" s="56"/>
      <c r="B377" s="56"/>
      <c r="C377" s="56"/>
      <c r="D377" s="93" t="s">
        <v>392</v>
      </c>
      <c r="E377" s="42" t="s">
        <v>821</v>
      </c>
      <c r="F377" s="42" t="s">
        <v>821</v>
      </c>
      <c r="G377" s="42" t="s">
        <v>821</v>
      </c>
      <c r="H377" s="42" t="s">
        <v>821</v>
      </c>
      <c r="I377" s="42" t="s">
        <v>821</v>
      </c>
      <c r="J377" s="42" t="s">
        <v>821</v>
      </c>
      <c r="K377" s="42" t="s">
        <v>821</v>
      </c>
      <c r="L377" s="41" t="s">
        <v>821</v>
      </c>
      <c r="M377" s="45" t="s">
        <v>391</v>
      </c>
      <c r="N377" s="56"/>
      <c r="O377" s="7"/>
    </row>
    <row r="378" spans="1:29" ht="30.5" customHeight="1" thickBot="1">
      <c r="A378" s="56"/>
      <c r="B378" s="56"/>
      <c r="C378" s="56"/>
      <c r="D378" s="201" t="s">
        <v>818</v>
      </c>
      <c r="E378" s="106">
        <v>0</v>
      </c>
      <c r="F378" s="106">
        <v>0</v>
      </c>
      <c r="G378" s="106">
        <v>0</v>
      </c>
      <c r="H378" s="106">
        <v>0</v>
      </c>
      <c r="I378" s="106">
        <v>0</v>
      </c>
      <c r="J378" s="106">
        <v>0</v>
      </c>
      <c r="K378" s="106">
        <v>0</v>
      </c>
      <c r="L378" s="99">
        <v>0</v>
      </c>
      <c r="M378" s="45" t="s">
        <v>393</v>
      </c>
      <c r="N378" s="56"/>
      <c r="O378" s="7"/>
    </row>
    <row r="379" spans="1:29" ht="15" customHeight="1" thickBot="1">
      <c r="A379" s="56"/>
      <c r="B379" s="56"/>
      <c r="C379" s="56"/>
    </row>
    <row r="380" spans="1:29" ht="16" thickBot="1">
      <c r="A380" s="56"/>
      <c r="B380" s="56"/>
      <c r="C380" s="56"/>
      <c r="D380" s="296" t="s">
        <v>771</v>
      </c>
      <c r="E380" s="297"/>
      <c r="F380" s="297"/>
      <c r="G380" s="297"/>
      <c r="H380" s="297"/>
      <c r="I380" s="297"/>
      <c r="J380" s="297"/>
      <c r="K380" s="297"/>
      <c r="L380" s="297"/>
      <c r="M380" s="298"/>
      <c r="N380" s="56"/>
    </row>
    <row r="381" spans="1:29" ht="16" thickBot="1">
      <c r="A381" s="56"/>
      <c r="B381" s="56"/>
      <c r="C381" s="56"/>
      <c r="D381" s="296" t="s">
        <v>772</v>
      </c>
      <c r="E381" s="297"/>
      <c r="F381" s="297"/>
      <c r="G381" s="297"/>
      <c r="H381" s="297"/>
      <c r="I381" s="297"/>
      <c r="J381" s="297"/>
      <c r="K381" s="297"/>
      <c r="L381" s="297"/>
      <c r="M381" s="298"/>
      <c r="N381" s="56"/>
    </row>
    <row r="382" spans="1:29">
      <c r="A382" s="56"/>
      <c r="B382" s="56"/>
      <c r="C382" s="56"/>
      <c r="D382" s="174" t="s">
        <v>247</v>
      </c>
      <c r="E382" s="169" t="str">
        <f t="shared" ref="E382:M382" si="21">+E324</f>
        <v>Nord Stream AG (Stateless Permanent Establishment Denmark)</v>
      </c>
      <c r="F382" s="169">
        <f t="shared" si="21"/>
        <v>0</v>
      </c>
      <c r="G382" s="169">
        <f t="shared" si="21"/>
        <v>0</v>
      </c>
      <c r="H382" s="169">
        <f t="shared" si="21"/>
        <v>0</v>
      </c>
      <c r="I382" s="169">
        <f t="shared" si="21"/>
        <v>0</v>
      </c>
      <c r="J382" s="169">
        <f t="shared" si="21"/>
        <v>0</v>
      </c>
      <c r="K382" s="169">
        <f t="shared" si="21"/>
        <v>0</v>
      </c>
      <c r="L382" s="169">
        <f t="shared" si="21"/>
        <v>0</v>
      </c>
      <c r="M382" s="170" t="str">
        <f t="shared" si="21"/>
        <v>Total amount</v>
      </c>
      <c r="N382" s="56"/>
    </row>
    <row r="383" spans="1:29">
      <c r="A383" s="56"/>
      <c r="B383" s="56"/>
      <c r="C383" s="56"/>
      <c r="D383" s="285" t="s">
        <v>773</v>
      </c>
      <c r="E383" s="383"/>
      <c r="F383" s="383"/>
      <c r="G383" s="383"/>
      <c r="H383" s="383"/>
      <c r="I383" s="383"/>
      <c r="J383" s="383"/>
      <c r="K383" s="383"/>
      <c r="L383" s="383"/>
      <c r="M383" s="286"/>
      <c r="N383" s="56"/>
    </row>
    <row r="384" spans="1:29">
      <c r="A384" s="56"/>
      <c r="B384" s="56"/>
      <c r="C384" s="56"/>
      <c r="D384" s="188" t="s">
        <v>774</v>
      </c>
      <c r="E384" s="42" t="s">
        <v>788</v>
      </c>
      <c r="F384" s="42" t="s">
        <v>788</v>
      </c>
      <c r="G384" s="42" t="s">
        <v>788</v>
      </c>
      <c r="H384" s="42" t="s">
        <v>788</v>
      </c>
      <c r="I384" s="42" t="s">
        <v>788</v>
      </c>
      <c r="J384" s="42" t="s">
        <v>788</v>
      </c>
      <c r="K384" s="42" t="s">
        <v>788</v>
      </c>
      <c r="L384" s="42" t="s">
        <v>788</v>
      </c>
      <c r="M384" s="150"/>
      <c r="N384" s="56"/>
    </row>
    <row r="385" spans="1:14" s="56" customFormat="1">
      <c r="D385" s="188" t="s">
        <v>775</v>
      </c>
      <c r="E385" s="42">
        <v>0</v>
      </c>
      <c r="F385" s="42">
        <v>0</v>
      </c>
      <c r="G385" s="42">
        <v>0</v>
      </c>
      <c r="H385" s="42">
        <v>0</v>
      </c>
      <c r="I385" s="42">
        <v>0</v>
      </c>
      <c r="J385" s="42">
        <v>0</v>
      </c>
      <c r="K385" s="42">
        <v>0</v>
      </c>
      <c r="L385" s="42">
        <v>0</v>
      </c>
      <c r="M385" s="150">
        <f>SUM(E385:L385)</f>
        <v>0</v>
      </c>
    </row>
    <row r="386" spans="1:14" s="56" customFormat="1">
      <c r="D386" s="23" t="s">
        <v>776</v>
      </c>
      <c r="E386" s="42">
        <v>0</v>
      </c>
      <c r="F386" s="42">
        <v>0</v>
      </c>
      <c r="G386" s="42">
        <v>0</v>
      </c>
      <c r="H386" s="42">
        <v>0</v>
      </c>
      <c r="I386" s="42">
        <v>0</v>
      </c>
      <c r="J386" s="42">
        <v>0</v>
      </c>
      <c r="K386" s="42">
        <v>0</v>
      </c>
      <c r="L386" s="42">
        <v>0</v>
      </c>
      <c r="M386" s="150">
        <f>SUM(E386:L386)</f>
        <v>0</v>
      </c>
    </row>
    <row r="387" spans="1:14" s="56" customFormat="1">
      <c r="D387" s="23" t="s">
        <v>777</v>
      </c>
      <c r="E387" s="181">
        <f>+E385-E386</f>
        <v>0</v>
      </c>
      <c r="F387" s="181">
        <f t="shared" ref="F387:L387" si="22">+F385-F386</f>
        <v>0</v>
      </c>
      <c r="G387" s="181">
        <f t="shared" si="22"/>
        <v>0</v>
      </c>
      <c r="H387" s="181">
        <f t="shared" si="22"/>
        <v>0</v>
      </c>
      <c r="I387" s="181">
        <f t="shared" si="22"/>
        <v>0</v>
      </c>
      <c r="J387" s="181">
        <f t="shared" si="22"/>
        <v>0</v>
      </c>
      <c r="K387" s="181">
        <f t="shared" si="22"/>
        <v>0</v>
      </c>
      <c r="L387" s="181">
        <f t="shared" si="22"/>
        <v>0</v>
      </c>
      <c r="M387" s="150">
        <f>SUM(E387:L387)</f>
        <v>0</v>
      </c>
    </row>
    <row r="388" spans="1:14">
      <c r="A388" s="56"/>
      <c r="B388" s="56"/>
      <c r="C388" s="56"/>
      <c r="D388" s="285" t="s">
        <v>778</v>
      </c>
      <c r="E388" s="383"/>
      <c r="F388" s="383"/>
      <c r="G388" s="383"/>
      <c r="H388" s="383"/>
      <c r="I388" s="383"/>
      <c r="J388" s="383"/>
      <c r="K388" s="383"/>
      <c r="L388" s="383"/>
      <c r="M388" s="286"/>
      <c r="N388" s="56"/>
    </row>
    <row r="389" spans="1:14" s="56" customFormat="1">
      <c r="D389" s="23" t="s">
        <v>779</v>
      </c>
      <c r="E389" s="42" t="s">
        <v>788</v>
      </c>
      <c r="F389" s="42" t="s">
        <v>788</v>
      </c>
      <c r="G389" s="42" t="s">
        <v>788</v>
      </c>
      <c r="H389" s="42" t="s">
        <v>788</v>
      </c>
      <c r="I389" s="42" t="s">
        <v>788</v>
      </c>
      <c r="J389" s="42" t="s">
        <v>788</v>
      </c>
      <c r="K389" s="42" t="s">
        <v>788</v>
      </c>
      <c r="L389" s="42" t="s">
        <v>788</v>
      </c>
      <c r="M389" s="184"/>
    </row>
    <row r="390" spans="1:14" s="56" customFormat="1">
      <c r="D390" s="23" t="s">
        <v>780</v>
      </c>
      <c r="E390" s="42">
        <v>0</v>
      </c>
      <c r="F390" s="42">
        <v>0</v>
      </c>
      <c r="G390" s="42">
        <v>0</v>
      </c>
      <c r="H390" s="42">
        <v>0</v>
      </c>
      <c r="I390" s="42">
        <v>0</v>
      </c>
      <c r="J390" s="42">
        <v>0</v>
      </c>
      <c r="K390" s="42">
        <v>0</v>
      </c>
      <c r="L390" s="42">
        <v>0</v>
      </c>
      <c r="M390" s="150">
        <f>SUM(E390:L390)</f>
        <v>0</v>
      </c>
    </row>
    <row r="391" spans="1:14" s="56" customFormat="1">
      <c r="D391" s="23" t="s">
        <v>781</v>
      </c>
      <c r="E391" s="42">
        <v>0</v>
      </c>
      <c r="F391" s="42">
        <v>0</v>
      </c>
      <c r="G391" s="42">
        <v>0</v>
      </c>
      <c r="H391" s="42">
        <v>0</v>
      </c>
      <c r="I391" s="42">
        <v>0</v>
      </c>
      <c r="J391" s="42">
        <v>0</v>
      </c>
      <c r="K391" s="42">
        <v>0</v>
      </c>
      <c r="L391" s="42">
        <v>0</v>
      </c>
      <c r="M391" s="150">
        <f>SUM(E391:L391)</f>
        <v>0</v>
      </c>
    </row>
    <row r="392" spans="1:14" s="56" customFormat="1">
      <c r="D392" s="23" t="s">
        <v>782</v>
      </c>
      <c r="E392" s="181">
        <f>+E390-E391</f>
        <v>0</v>
      </c>
      <c r="F392" s="181">
        <f t="shared" ref="F392:L392" si="23">+F390-F391</f>
        <v>0</v>
      </c>
      <c r="G392" s="181">
        <f t="shared" si="23"/>
        <v>0</v>
      </c>
      <c r="H392" s="181">
        <f t="shared" si="23"/>
        <v>0</v>
      </c>
      <c r="I392" s="181">
        <f t="shared" si="23"/>
        <v>0</v>
      </c>
      <c r="J392" s="181">
        <f t="shared" si="23"/>
        <v>0</v>
      </c>
      <c r="K392" s="181">
        <f t="shared" si="23"/>
        <v>0</v>
      </c>
      <c r="L392" s="181">
        <f t="shared" si="23"/>
        <v>0</v>
      </c>
      <c r="M392" s="150">
        <f>SUM(E392:L392)</f>
        <v>0</v>
      </c>
    </row>
    <row r="393" spans="1:14">
      <c r="A393" s="56"/>
      <c r="B393" s="56"/>
      <c r="C393" s="56"/>
      <c r="D393" s="285" t="s">
        <v>783</v>
      </c>
      <c r="E393" s="383"/>
      <c r="F393" s="383"/>
      <c r="G393" s="383"/>
      <c r="H393" s="383"/>
      <c r="I393" s="383"/>
      <c r="J393" s="383"/>
      <c r="K393" s="383"/>
      <c r="L393" s="383"/>
      <c r="M393" s="286"/>
      <c r="N393" s="56"/>
    </row>
    <row r="394" spans="1:14" s="56" customFormat="1">
      <c r="D394" s="23" t="s">
        <v>784</v>
      </c>
      <c r="E394" s="42">
        <v>0</v>
      </c>
      <c r="F394" s="42">
        <v>0</v>
      </c>
      <c r="G394" s="42">
        <v>0</v>
      </c>
      <c r="H394" s="42">
        <v>0</v>
      </c>
      <c r="I394" s="42">
        <v>0</v>
      </c>
      <c r="J394" s="42">
        <v>0</v>
      </c>
      <c r="K394" s="42">
        <v>0</v>
      </c>
      <c r="L394" s="42">
        <v>0</v>
      </c>
      <c r="M394" s="150">
        <f>SUM(E394:L394)</f>
        <v>0</v>
      </c>
    </row>
    <row r="395" spans="1:14" s="56" customFormat="1">
      <c r="D395" s="23" t="s">
        <v>785</v>
      </c>
      <c r="E395" s="42">
        <v>0</v>
      </c>
      <c r="F395" s="42">
        <v>0</v>
      </c>
      <c r="G395" s="42">
        <v>0</v>
      </c>
      <c r="H395" s="42">
        <v>0</v>
      </c>
      <c r="I395" s="42">
        <v>0</v>
      </c>
      <c r="J395" s="42">
        <v>0</v>
      </c>
      <c r="K395" s="42">
        <v>0</v>
      </c>
      <c r="L395" s="42">
        <v>0</v>
      </c>
      <c r="M395" s="150">
        <f>SUM(E395:L395)</f>
        <v>0</v>
      </c>
    </row>
    <row r="396" spans="1:14">
      <c r="A396" s="56"/>
      <c r="B396" s="56"/>
      <c r="C396" s="56"/>
      <c r="D396" s="285" t="s">
        <v>786</v>
      </c>
      <c r="E396" s="383"/>
      <c r="F396" s="383"/>
      <c r="G396" s="383"/>
      <c r="H396" s="383"/>
      <c r="I396" s="383"/>
      <c r="J396" s="383"/>
      <c r="K396" s="383"/>
      <c r="L396" s="383"/>
      <c r="M396" s="286"/>
      <c r="N396" s="56"/>
    </row>
    <row r="397" spans="1:14" s="56" customFormat="1" ht="16" thickBot="1">
      <c r="D397" s="176" t="s">
        <v>787</v>
      </c>
      <c r="E397" s="106">
        <v>0</v>
      </c>
      <c r="F397" s="106">
        <v>0</v>
      </c>
      <c r="G397" s="106">
        <v>0</v>
      </c>
      <c r="H397" s="106">
        <v>0</v>
      </c>
      <c r="I397" s="106">
        <v>0</v>
      </c>
      <c r="J397" s="106">
        <v>0</v>
      </c>
      <c r="K397" s="106">
        <v>0</v>
      </c>
      <c r="L397" s="106">
        <v>0</v>
      </c>
      <c r="M397" s="164">
        <f>SUM(E397:L397)</f>
        <v>0</v>
      </c>
    </row>
    <row r="398" spans="1:14" ht="16" thickBot="1">
      <c r="A398" s="56"/>
      <c r="B398" s="56"/>
      <c r="C398" s="56"/>
      <c r="D398" s="4"/>
      <c r="E398" s="182"/>
      <c r="F398" s="182"/>
      <c r="G398" s="182"/>
      <c r="H398" s="182"/>
      <c r="I398" s="182"/>
      <c r="J398" s="182"/>
      <c r="K398" s="182"/>
      <c r="L398" s="182"/>
      <c r="M398" s="182"/>
      <c r="N398" s="56"/>
    </row>
    <row r="399" spans="1:14" ht="16" thickBot="1">
      <c r="A399" s="56"/>
      <c r="B399" s="56"/>
      <c r="C399" s="56"/>
      <c r="D399" s="296" t="s">
        <v>789</v>
      </c>
      <c r="E399" s="298"/>
      <c r="F399" s="182"/>
      <c r="G399" s="182"/>
      <c r="H399" s="182"/>
      <c r="I399" s="182"/>
      <c r="J399" s="182"/>
      <c r="K399" s="182"/>
      <c r="L399" s="182"/>
      <c r="M399" s="182"/>
      <c r="N399" s="56"/>
    </row>
    <row r="400" spans="1:14">
      <c r="A400" s="56"/>
      <c r="B400" s="56"/>
      <c r="C400" s="56"/>
      <c r="D400" s="153" t="s">
        <v>790</v>
      </c>
      <c r="E400" s="189">
        <v>0</v>
      </c>
      <c r="F400" s="182"/>
      <c r="G400" s="182"/>
      <c r="H400" s="182"/>
      <c r="I400" s="182"/>
      <c r="J400" s="182"/>
      <c r="K400" s="182"/>
      <c r="L400" s="182"/>
      <c r="M400" s="182"/>
      <c r="N400" s="56"/>
    </row>
    <row r="401" spans="1:14">
      <c r="A401" s="56"/>
      <c r="B401" s="56"/>
      <c r="C401" s="56"/>
      <c r="D401" s="23" t="s">
        <v>791</v>
      </c>
      <c r="E401" s="184">
        <f>+E400*0.5</f>
        <v>0</v>
      </c>
      <c r="F401" s="182"/>
      <c r="G401" s="182"/>
      <c r="H401" s="182"/>
      <c r="I401" s="182"/>
      <c r="J401" s="182"/>
      <c r="K401" s="182"/>
      <c r="L401" s="182"/>
      <c r="M401" s="182"/>
      <c r="N401" s="56"/>
    </row>
    <row r="402" spans="1:14">
      <c r="A402" s="56"/>
      <c r="B402" s="56"/>
      <c r="C402" s="56"/>
      <c r="D402" s="23" t="s">
        <v>792</v>
      </c>
      <c r="E402" s="41">
        <v>0</v>
      </c>
      <c r="F402" s="182"/>
      <c r="G402" s="182"/>
      <c r="H402" s="182"/>
      <c r="I402" s="182"/>
      <c r="J402" s="182"/>
      <c r="K402" s="182"/>
      <c r="L402" s="182"/>
      <c r="M402" s="182"/>
      <c r="N402" s="56"/>
    </row>
    <row r="403" spans="1:14" ht="16" thickBot="1">
      <c r="A403" s="56"/>
      <c r="B403" s="56"/>
      <c r="C403" s="56"/>
      <c r="D403" s="176" t="s">
        <v>793</v>
      </c>
      <c r="E403" s="186">
        <f>+E402-E401</f>
        <v>0</v>
      </c>
      <c r="F403" s="182"/>
      <c r="G403" s="182"/>
      <c r="H403" s="182"/>
      <c r="I403" s="182"/>
      <c r="J403" s="182"/>
      <c r="K403" s="182"/>
      <c r="L403" s="182"/>
      <c r="M403" s="182"/>
      <c r="N403" s="56"/>
    </row>
    <row r="404" spans="1:14" ht="16" thickBot="1">
      <c r="A404" s="56"/>
      <c r="B404" s="56"/>
      <c r="C404" s="56"/>
      <c r="D404" s="4"/>
      <c r="E404" s="182"/>
      <c r="F404" s="182"/>
      <c r="G404" s="182"/>
      <c r="H404" s="182"/>
      <c r="I404" s="182"/>
      <c r="J404" s="182"/>
      <c r="K404" s="182"/>
      <c r="L404" s="182"/>
      <c r="M404" s="182"/>
      <c r="N404" s="56"/>
    </row>
    <row r="405" spans="1:14" ht="16" thickBot="1">
      <c r="A405" s="56"/>
      <c r="B405" s="56"/>
      <c r="C405" s="56"/>
      <c r="D405" s="296" t="s">
        <v>794</v>
      </c>
      <c r="E405" s="298"/>
      <c r="F405" s="182"/>
      <c r="G405" s="182"/>
      <c r="H405" s="182"/>
      <c r="I405" s="182"/>
      <c r="J405" s="182"/>
      <c r="K405" s="182"/>
      <c r="L405" s="182"/>
      <c r="M405" s="182"/>
      <c r="N405" s="56"/>
    </row>
    <row r="406" spans="1:14">
      <c r="A406" s="56"/>
      <c r="B406" s="56"/>
      <c r="C406" s="56"/>
      <c r="D406" s="384" t="s">
        <v>795</v>
      </c>
      <c r="E406" s="385"/>
      <c r="F406" s="182"/>
      <c r="G406" s="182"/>
      <c r="H406" s="182"/>
      <c r="I406" s="182"/>
      <c r="J406" s="182"/>
      <c r="K406" s="182"/>
      <c r="L406" s="182"/>
      <c r="M406" s="182"/>
      <c r="N406" s="56"/>
    </row>
    <row r="407" spans="1:14">
      <c r="A407" s="56"/>
      <c r="B407" s="56"/>
      <c r="C407" s="56"/>
      <c r="D407" s="153" t="s">
        <v>798</v>
      </c>
      <c r="E407" s="41" t="s">
        <v>801</v>
      </c>
      <c r="F407" s="187"/>
      <c r="G407" s="187"/>
      <c r="H407" s="187"/>
      <c r="I407" s="182"/>
      <c r="J407" s="182"/>
      <c r="K407" s="182"/>
      <c r="L407" s="182"/>
      <c r="M407" s="182"/>
      <c r="N407" s="56"/>
    </row>
    <row r="408" spans="1:14">
      <c r="A408" s="56"/>
      <c r="B408" s="56"/>
      <c r="C408" s="56"/>
      <c r="D408" s="153" t="s">
        <v>796</v>
      </c>
      <c r="E408" s="41" t="s">
        <v>802</v>
      </c>
      <c r="F408" s="182"/>
      <c r="G408" s="182"/>
      <c r="H408" s="182"/>
      <c r="I408" s="182"/>
      <c r="J408" s="182"/>
      <c r="K408" s="182"/>
      <c r="L408" s="182"/>
      <c r="M408" s="182"/>
      <c r="N408" s="56"/>
    </row>
    <row r="409" spans="1:14">
      <c r="A409" s="56"/>
      <c r="B409" s="56"/>
      <c r="C409" s="56"/>
      <c r="D409" s="153" t="s">
        <v>797</v>
      </c>
      <c r="E409" s="41">
        <v>0</v>
      </c>
      <c r="F409" s="182"/>
      <c r="G409" s="182"/>
      <c r="H409" s="182"/>
      <c r="I409" s="182"/>
      <c r="J409" s="182"/>
      <c r="K409" s="182"/>
      <c r="L409" s="182"/>
      <c r="M409" s="182"/>
      <c r="N409" s="56"/>
    </row>
    <row r="410" spans="1:14">
      <c r="A410" s="56"/>
      <c r="B410" s="56"/>
      <c r="C410" s="56"/>
      <c r="D410" s="153" t="s">
        <v>799</v>
      </c>
      <c r="E410" s="41">
        <v>0</v>
      </c>
      <c r="F410" s="182"/>
      <c r="G410" s="182"/>
      <c r="H410" s="182"/>
      <c r="I410" s="182"/>
      <c r="J410" s="182"/>
      <c r="K410" s="182"/>
      <c r="L410" s="182"/>
      <c r="M410" s="182"/>
      <c r="N410" s="56"/>
    </row>
    <row r="411" spans="1:14" ht="16" thickBot="1">
      <c r="A411" s="56"/>
      <c r="B411" s="56"/>
      <c r="C411" s="56"/>
      <c r="D411" s="190" t="s">
        <v>800</v>
      </c>
      <c r="E411" s="99" t="s">
        <v>803</v>
      </c>
      <c r="F411" s="182"/>
      <c r="G411" s="182"/>
      <c r="H411" s="182"/>
      <c r="I411" s="182"/>
      <c r="J411" s="182"/>
      <c r="K411" s="182"/>
      <c r="L411" s="182"/>
      <c r="M411" s="182"/>
      <c r="N411" s="56"/>
    </row>
    <row r="412" spans="1:14" ht="16" thickBot="1">
      <c r="A412" s="56"/>
      <c r="B412" s="56"/>
      <c r="C412" s="56"/>
      <c r="D412" s="187"/>
      <c r="E412" s="182"/>
      <c r="F412" s="182"/>
      <c r="G412" s="182"/>
      <c r="H412" s="182"/>
      <c r="I412" s="182"/>
      <c r="J412" s="182"/>
      <c r="K412" s="182"/>
      <c r="L412" s="182"/>
      <c r="M412" s="182"/>
      <c r="N412" s="56"/>
    </row>
    <row r="413" spans="1:14" ht="16" thickBot="1">
      <c r="A413" s="56"/>
      <c r="B413" s="56"/>
      <c r="C413" s="56"/>
      <c r="D413" s="311" t="s">
        <v>804</v>
      </c>
      <c r="E413" s="360"/>
      <c r="F413" s="360"/>
      <c r="G413" s="360"/>
      <c r="H413" s="360"/>
      <c r="I413" s="360"/>
      <c r="J413" s="360"/>
      <c r="K413" s="360"/>
      <c r="L413" s="312"/>
      <c r="M413" s="56"/>
      <c r="N413" s="56"/>
    </row>
    <row r="414" spans="1:14">
      <c r="A414" s="56"/>
      <c r="B414" s="56"/>
      <c r="C414" s="56"/>
      <c r="D414" s="174" t="s">
        <v>805</v>
      </c>
      <c r="E414" s="169" t="str">
        <f>+E382</f>
        <v>Nord Stream AG (Stateless Permanent Establishment Denmark)</v>
      </c>
      <c r="F414" s="169">
        <f t="shared" ref="F414:L414" si="24">+F382</f>
        <v>0</v>
      </c>
      <c r="G414" s="169">
        <f t="shared" si="24"/>
        <v>0</v>
      </c>
      <c r="H414" s="169">
        <f t="shared" si="24"/>
        <v>0</v>
      </c>
      <c r="I414" s="169">
        <f t="shared" si="24"/>
        <v>0</v>
      </c>
      <c r="J414" s="169">
        <f t="shared" si="24"/>
        <v>0</v>
      </c>
      <c r="K414" s="169">
        <f t="shared" si="24"/>
        <v>0</v>
      </c>
      <c r="L414" s="170">
        <f t="shared" si="24"/>
        <v>0</v>
      </c>
      <c r="M414" s="45" t="s">
        <v>245</v>
      </c>
      <c r="N414" s="45" t="s">
        <v>403</v>
      </c>
    </row>
    <row r="415" spans="1:14" ht="16" thickBot="1">
      <c r="A415" s="56"/>
      <c r="B415" s="56"/>
      <c r="C415" s="56"/>
      <c r="D415" s="176" t="s">
        <v>806</v>
      </c>
      <c r="E415" s="106" t="s">
        <v>807</v>
      </c>
      <c r="F415" s="106" t="s">
        <v>807</v>
      </c>
      <c r="G415" s="106" t="s">
        <v>807</v>
      </c>
      <c r="H415" s="106" t="s">
        <v>807</v>
      </c>
      <c r="I415" s="106" t="s">
        <v>807</v>
      </c>
      <c r="J415" s="106" t="s">
        <v>807</v>
      </c>
      <c r="K415" s="106" t="s">
        <v>807</v>
      </c>
      <c r="L415" s="99" t="s">
        <v>807</v>
      </c>
      <c r="M415" s="45" t="s">
        <v>404</v>
      </c>
      <c r="N415" s="45" t="s">
        <v>405</v>
      </c>
    </row>
    <row r="416" spans="1:14">
      <c r="A416" s="56"/>
      <c r="B416" s="56"/>
      <c r="C416" s="56"/>
      <c r="D416" s="56"/>
      <c r="E416" s="56"/>
      <c r="F416" s="7"/>
      <c r="G416" s="7"/>
      <c r="H416" s="7"/>
      <c r="I416" s="7"/>
      <c r="J416" s="7"/>
      <c r="K416" s="7"/>
      <c r="L416" s="7"/>
      <c r="M416" s="7"/>
      <c r="N416" s="7"/>
    </row>
    <row r="417" spans="1:15" ht="16" thickBot="1">
      <c r="A417" s="56"/>
      <c r="B417" s="56"/>
      <c r="C417" s="56"/>
      <c r="D417" s="56"/>
      <c r="E417" s="56"/>
      <c r="F417" s="7"/>
      <c r="G417" s="7"/>
      <c r="H417" s="7"/>
      <c r="I417" s="7"/>
      <c r="J417" s="7"/>
      <c r="K417" s="7"/>
      <c r="L417" s="7"/>
      <c r="M417" s="7"/>
      <c r="N417" s="7"/>
    </row>
    <row r="418" spans="1:15" ht="16" thickBot="1">
      <c r="A418" s="56"/>
      <c r="B418" s="56"/>
      <c r="C418" s="56"/>
      <c r="D418" s="296" t="s">
        <v>406</v>
      </c>
      <c r="E418" s="298" t="s">
        <v>1</v>
      </c>
      <c r="F418" s="2"/>
      <c r="G418" s="2"/>
      <c r="H418" s="2"/>
      <c r="I418" s="2"/>
      <c r="J418" s="7"/>
      <c r="K418" s="7"/>
      <c r="L418" s="7"/>
      <c r="M418" s="7"/>
      <c r="N418" s="7"/>
    </row>
    <row r="419" spans="1:15" ht="16" thickBot="1">
      <c r="A419" s="56"/>
      <c r="B419" s="56"/>
      <c r="C419" s="56"/>
      <c r="D419" s="296" t="s">
        <v>538</v>
      </c>
      <c r="E419" s="298"/>
      <c r="F419" s="2"/>
      <c r="G419" s="2"/>
      <c r="H419" s="2"/>
      <c r="I419" s="2"/>
      <c r="J419" s="7"/>
      <c r="K419" s="7"/>
      <c r="L419" s="7"/>
      <c r="M419" s="7"/>
      <c r="N419" s="7"/>
    </row>
    <row r="420" spans="1:15">
      <c r="A420" s="56"/>
      <c r="B420" s="56"/>
      <c r="C420" s="56"/>
      <c r="D420" s="202" t="s">
        <v>822</v>
      </c>
      <c r="E420" s="203">
        <f>IF(15%-E36&gt;0%,15%-E36,0)</f>
        <v>0.111300236550333</v>
      </c>
      <c r="F420" s="45" t="s">
        <v>407</v>
      </c>
      <c r="G420" s="45" t="s">
        <v>409</v>
      </c>
      <c r="H420" s="56"/>
      <c r="I420" s="56"/>
      <c r="J420" s="7"/>
      <c r="K420" s="7"/>
      <c r="L420" s="7"/>
      <c r="M420" s="7"/>
      <c r="N420" s="7"/>
      <c r="O420" s="32"/>
    </row>
    <row r="421" spans="1:15">
      <c r="A421" s="56"/>
      <c r="B421" s="56"/>
      <c r="C421" s="56"/>
      <c r="D421" s="24" t="s">
        <v>823</v>
      </c>
      <c r="E421" s="204">
        <f>+E437</f>
        <v>341400</v>
      </c>
      <c r="F421" s="45" t="s">
        <v>408</v>
      </c>
      <c r="G421" s="45" t="s">
        <v>411</v>
      </c>
      <c r="H421" s="56"/>
      <c r="I421" s="56"/>
      <c r="J421" s="7"/>
      <c r="K421" s="7"/>
      <c r="L421" s="7"/>
      <c r="M421" s="7"/>
      <c r="N421" s="7"/>
    </row>
    <row r="422" spans="1:15">
      <c r="A422" s="56"/>
      <c r="B422" s="56"/>
      <c r="C422" s="56"/>
      <c r="D422" s="24" t="s">
        <v>824</v>
      </c>
      <c r="E422" s="204">
        <f>+E16-E421</f>
        <v>88981239</v>
      </c>
      <c r="F422" s="45" t="s">
        <v>410</v>
      </c>
      <c r="G422" s="45" t="s">
        <v>413</v>
      </c>
      <c r="H422" s="56"/>
      <c r="I422" s="56"/>
      <c r="J422" s="7"/>
      <c r="K422" s="7"/>
      <c r="L422" s="7"/>
      <c r="M422" s="7"/>
      <c r="N422" s="7"/>
    </row>
    <row r="423" spans="1:15">
      <c r="A423" s="56"/>
      <c r="B423" s="56"/>
      <c r="C423" s="56"/>
      <c r="D423" s="24" t="s">
        <v>825</v>
      </c>
      <c r="E423" s="205">
        <f>+E475</f>
        <v>0</v>
      </c>
      <c r="F423" s="45" t="s">
        <v>412</v>
      </c>
      <c r="G423" s="45" t="s">
        <v>415</v>
      </c>
      <c r="H423" s="56"/>
      <c r="I423" s="56"/>
      <c r="J423" s="7"/>
      <c r="K423" s="7"/>
      <c r="L423" s="7"/>
      <c r="M423" s="7"/>
      <c r="N423" s="7"/>
    </row>
    <row r="424" spans="1:15">
      <c r="A424" s="56"/>
      <c r="B424" s="56"/>
      <c r="C424" s="56"/>
      <c r="D424" s="24" t="s">
        <v>826</v>
      </c>
      <c r="E424" s="41">
        <v>0</v>
      </c>
      <c r="F424" s="45" t="s">
        <v>414</v>
      </c>
      <c r="G424" s="45" t="s">
        <v>417</v>
      </c>
      <c r="H424" s="56"/>
      <c r="I424" s="56"/>
      <c r="J424" s="7"/>
      <c r="K424" s="7"/>
      <c r="L424" s="7"/>
      <c r="M424" s="7"/>
      <c r="N424" s="7"/>
    </row>
    <row r="425" spans="1:15" ht="16" thickBot="1">
      <c r="A425" s="56"/>
      <c r="B425" s="56"/>
      <c r="C425" s="56"/>
      <c r="D425" s="25" t="s">
        <v>827</v>
      </c>
      <c r="E425" s="206">
        <f>+(E420*E422)+E423-E424</f>
        <v>9903632.9492417164</v>
      </c>
      <c r="F425" s="45" t="s">
        <v>416</v>
      </c>
      <c r="G425" s="45" t="s">
        <v>419</v>
      </c>
      <c r="H425" s="56"/>
      <c r="I425" s="56"/>
      <c r="J425" s="7"/>
      <c r="K425" s="7"/>
      <c r="L425" s="7"/>
      <c r="M425" s="7"/>
      <c r="N425" s="7"/>
    </row>
    <row r="426" spans="1:15" ht="16" thickBot="1">
      <c r="A426" s="56"/>
      <c r="B426" s="56"/>
      <c r="C426" s="56"/>
      <c r="D426" s="56"/>
      <c r="E426" s="56"/>
      <c r="F426" s="45" t="s">
        <v>418</v>
      </c>
      <c r="G426" s="45"/>
      <c r="H426" s="56"/>
      <c r="I426" s="56"/>
      <c r="J426" s="7"/>
      <c r="K426" s="7"/>
      <c r="L426" s="7"/>
      <c r="M426" s="7"/>
      <c r="N426" s="7"/>
    </row>
    <row r="427" spans="1:15" ht="16" hidden="1" thickBot="1">
      <c r="A427" s="56"/>
      <c r="B427" s="56"/>
      <c r="C427" s="56"/>
      <c r="D427" s="56"/>
      <c r="E427" s="56"/>
      <c r="F427" s="56"/>
      <c r="G427" s="56"/>
      <c r="H427" s="56"/>
      <c r="I427" s="56"/>
      <c r="J427" s="7"/>
      <c r="K427" s="7"/>
      <c r="L427" s="7"/>
      <c r="M427" s="7"/>
      <c r="N427" s="7"/>
    </row>
    <row r="428" spans="1:15" ht="16" thickBot="1">
      <c r="A428" s="56"/>
      <c r="B428" s="56"/>
      <c r="C428" s="56"/>
      <c r="D428" s="296" t="s">
        <v>420</v>
      </c>
      <c r="E428" s="298" t="s">
        <v>1</v>
      </c>
      <c r="F428" s="56"/>
      <c r="G428" s="56"/>
      <c r="H428" s="56"/>
      <c r="I428" s="56"/>
      <c r="J428" s="7"/>
      <c r="K428" s="7"/>
      <c r="L428" s="7"/>
      <c r="M428" s="7"/>
      <c r="N428" s="7"/>
    </row>
    <row r="429" spans="1:15" ht="16" thickBot="1">
      <c r="A429" s="56"/>
      <c r="B429" s="56"/>
      <c r="C429" s="56"/>
      <c r="D429" s="311" t="s">
        <v>833</v>
      </c>
      <c r="E429" s="312"/>
      <c r="F429" s="45"/>
      <c r="G429" s="45" t="s">
        <v>421</v>
      </c>
      <c r="I429" s="56"/>
      <c r="J429" s="7"/>
      <c r="K429" s="7"/>
      <c r="L429" s="7"/>
      <c r="M429" s="7"/>
      <c r="N429" s="7"/>
    </row>
    <row r="430" spans="1:15">
      <c r="A430" s="56"/>
      <c r="B430" s="56"/>
      <c r="C430" s="56"/>
      <c r="D430" s="386" t="s">
        <v>835</v>
      </c>
      <c r="E430" s="387"/>
      <c r="F430" s="45"/>
      <c r="G430" s="45"/>
      <c r="I430" s="56"/>
      <c r="J430" s="7"/>
      <c r="K430" s="7"/>
      <c r="L430" s="7"/>
      <c r="M430" s="7"/>
      <c r="N430" s="7"/>
    </row>
    <row r="431" spans="1:15">
      <c r="A431" s="56"/>
      <c r="B431" s="56"/>
      <c r="C431" s="56"/>
      <c r="D431" s="24" t="s">
        <v>828</v>
      </c>
      <c r="E431" s="204">
        <f>+M442</f>
        <v>300000</v>
      </c>
      <c r="F431" s="45" t="s">
        <v>422</v>
      </c>
      <c r="G431" s="45" t="s">
        <v>423</v>
      </c>
      <c r="I431" s="56"/>
      <c r="J431" s="7"/>
      <c r="K431" s="7"/>
      <c r="L431" s="7"/>
      <c r="M431" s="7"/>
      <c r="N431" s="7"/>
    </row>
    <row r="432" spans="1:15" ht="16" thickBot="1">
      <c r="A432" s="56"/>
      <c r="B432" s="56"/>
      <c r="C432" s="56"/>
      <c r="D432" s="208" t="s">
        <v>829</v>
      </c>
      <c r="E432" s="209">
        <v>9.8000000000000004E-2</v>
      </c>
      <c r="F432" s="45" t="s">
        <v>424</v>
      </c>
      <c r="G432" s="45" t="s">
        <v>425</v>
      </c>
      <c r="I432" s="56"/>
      <c r="J432" s="7"/>
      <c r="K432" s="7"/>
      <c r="L432" s="7"/>
      <c r="M432" s="7"/>
      <c r="N432" s="7"/>
    </row>
    <row r="433" spans="1:30">
      <c r="A433" s="56"/>
      <c r="B433" s="56"/>
      <c r="C433" s="56"/>
      <c r="D433" s="379" t="s">
        <v>836</v>
      </c>
      <c r="E433" s="380"/>
      <c r="F433" s="45"/>
      <c r="G433" s="45"/>
      <c r="I433" s="56"/>
      <c r="J433" s="7"/>
      <c r="K433" s="7"/>
      <c r="L433" s="7"/>
      <c r="M433" s="7"/>
      <c r="N433" s="7"/>
    </row>
    <row r="434" spans="1:30">
      <c r="A434" s="56"/>
      <c r="B434" s="56"/>
      <c r="C434" s="56"/>
      <c r="D434" s="24" t="s">
        <v>830</v>
      </c>
      <c r="E434" s="204">
        <f>+M443</f>
        <v>4000000</v>
      </c>
      <c r="F434" s="45" t="s">
        <v>426</v>
      </c>
      <c r="G434" s="45" t="s">
        <v>427</v>
      </c>
      <c r="I434" s="92"/>
      <c r="J434" s="7"/>
      <c r="K434" s="7"/>
      <c r="L434" s="7"/>
      <c r="M434" s="7"/>
      <c r="N434" s="7"/>
    </row>
    <row r="435" spans="1:30" ht="16" thickBot="1">
      <c r="A435" s="56"/>
      <c r="B435" s="56"/>
      <c r="C435" s="56"/>
      <c r="D435" s="208" t="s">
        <v>831</v>
      </c>
      <c r="E435" s="209">
        <v>7.8E-2</v>
      </c>
      <c r="F435" s="45" t="s">
        <v>428</v>
      </c>
      <c r="G435" s="45" t="s">
        <v>429</v>
      </c>
      <c r="I435" s="56"/>
      <c r="J435" s="7"/>
      <c r="K435" s="7"/>
      <c r="L435" s="7"/>
      <c r="M435" s="7"/>
      <c r="N435" s="7"/>
    </row>
    <row r="436" spans="1:30">
      <c r="A436" s="56"/>
      <c r="B436" s="56"/>
      <c r="C436" s="56"/>
      <c r="D436" s="379" t="s">
        <v>114</v>
      </c>
      <c r="E436" s="380"/>
      <c r="F436" s="45"/>
      <c r="G436" s="45"/>
      <c r="I436" s="56"/>
      <c r="J436" s="7"/>
      <c r="K436" s="7"/>
      <c r="L436" s="7"/>
      <c r="M436" s="7"/>
      <c r="N436" s="7"/>
    </row>
    <row r="437" spans="1:30" ht="16" thickBot="1">
      <c r="A437" s="56"/>
      <c r="B437" s="56"/>
      <c r="C437" s="56"/>
      <c r="D437" s="25" t="s">
        <v>832</v>
      </c>
      <c r="E437" s="206">
        <f>(E431*E432)+(E434*E435)</f>
        <v>341400</v>
      </c>
      <c r="F437" s="45" t="s">
        <v>430</v>
      </c>
      <c r="G437" s="45" t="s">
        <v>431</v>
      </c>
      <c r="I437" s="56"/>
      <c r="J437" s="7"/>
      <c r="K437" s="7"/>
      <c r="L437" s="7"/>
      <c r="M437" s="7"/>
      <c r="N437" s="7"/>
    </row>
    <row r="438" spans="1:30">
      <c r="A438" s="56"/>
      <c r="B438" s="56"/>
      <c r="C438" s="56"/>
      <c r="D438" s="56"/>
      <c r="E438" s="56"/>
      <c r="F438" s="56"/>
      <c r="G438" s="56"/>
      <c r="H438" s="56"/>
      <c r="I438" s="56"/>
      <c r="J438" s="7"/>
      <c r="K438" s="7"/>
      <c r="L438" s="7"/>
      <c r="M438" s="7"/>
      <c r="N438" s="7"/>
    </row>
    <row r="439" spans="1:30" ht="16" thickBot="1">
      <c r="A439" s="56"/>
      <c r="B439" s="56"/>
      <c r="C439" s="56"/>
      <c r="D439" s="56"/>
      <c r="E439" s="56"/>
      <c r="F439" s="56"/>
      <c r="G439" s="56"/>
      <c r="H439" s="56"/>
      <c r="I439" s="56"/>
      <c r="J439" s="7"/>
      <c r="K439" s="7"/>
      <c r="L439" s="7"/>
      <c r="M439" s="7"/>
      <c r="N439" s="7"/>
    </row>
    <row r="440" spans="1:30" ht="16" thickBot="1">
      <c r="A440" s="56"/>
      <c r="B440" s="56"/>
      <c r="C440" s="56"/>
      <c r="D440" s="296" t="s">
        <v>834</v>
      </c>
      <c r="E440" s="297"/>
      <c r="F440" s="297"/>
      <c r="G440" s="297"/>
      <c r="H440" s="297"/>
      <c r="I440" s="297"/>
      <c r="J440" s="297"/>
      <c r="K440" s="297"/>
      <c r="L440" s="297"/>
      <c r="M440" s="298"/>
      <c r="N440" s="45" t="s">
        <v>432</v>
      </c>
      <c r="O440" s="45"/>
    </row>
    <row r="441" spans="1:30" ht="16" thickBot="1">
      <c r="A441" s="56"/>
      <c r="B441" s="56"/>
      <c r="C441" s="56"/>
      <c r="D441" s="210"/>
      <c r="E441" s="211" t="str">
        <f>+E414</f>
        <v>Nord Stream AG (Stateless Permanent Establishment Denmark)</v>
      </c>
      <c r="F441" s="211">
        <f t="shared" ref="F441:L441" si="25">+F414</f>
        <v>0</v>
      </c>
      <c r="G441" s="211">
        <f t="shared" si="25"/>
        <v>0</v>
      </c>
      <c r="H441" s="211">
        <f t="shared" si="25"/>
        <v>0</v>
      </c>
      <c r="I441" s="211">
        <f t="shared" si="25"/>
        <v>0</v>
      </c>
      <c r="J441" s="211">
        <f t="shared" si="25"/>
        <v>0</v>
      </c>
      <c r="K441" s="211">
        <f t="shared" si="25"/>
        <v>0</v>
      </c>
      <c r="L441" s="211">
        <f t="shared" si="25"/>
        <v>0</v>
      </c>
      <c r="M441" s="212" t="s">
        <v>843</v>
      </c>
      <c r="N441" s="45" t="s">
        <v>245</v>
      </c>
      <c r="O441" s="45"/>
    </row>
    <row r="442" spans="1:30" ht="58.5" customHeight="1">
      <c r="A442" s="56"/>
      <c r="B442" s="56"/>
      <c r="C442" s="56"/>
      <c r="D442" s="207" t="s">
        <v>838</v>
      </c>
      <c r="E442" s="194">
        <v>300000</v>
      </c>
      <c r="F442" s="194">
        <v>0</v>
      </c>
      <c r="G442" s="194">
        <v>0</v>
      </c>
      <c r="H442" s="194">
        <v>0</v>
      </c>
      <c r="I442" s="194">
        <v>0</v>
      </c>
      <c r="J442" s="194">
        <v>0</v>
      </c>
      <c r="K442" s="194">
        <v>0</v>
      </c>
      <c r="L442" s="194">
        <v>0</v>
      </c>
      <c r="M442" s="213">
        <f>SUM(E442:L442)</f>
        <v>300000</v>
      </c>
      <c r="N442" s="45" t="s">
        <v>422</v>
      </c>
      <c r="O442" s="45" t="s">
        <v>433</v>
      </c>
      <c r="P442" s="325" t="s">
        <v>434</v>
      </c>
      <c r="Q442" s="326"/>
      <c r="R442" s="326"/>
      <c r="S442" s="326"/>
      <c r="T442" s="326"/>
      <c r="U442" s="326"/>
      <c r="V442" s="326"/>
      <c r="W442" s="326"/>
      <c r="X442" s="326"/>
      <c r="Y442" s="326"/>
      <c r="Z442" s="326"/>
      <c r="AA442" s="326"/>
      <c r="AB442" s="326"/>
      <c r="AC442" s="326"/>
      <c r="AD442" s="327"/>
    </row>
    <row r="443" spans="1:30" ht="69.5" customHeight="1">
      <c r="A443" s="56"/>
      <c r="B443" s="56"/>
      <c r="C443" s="56"/>
      <c r="D443" s="141" t="s">
        <v>839</v>
      </c>
      <c r="E443" s="42">
        <v>4000000</v>
      </c>
      <c r="F443" s="42">
        <v>0</v>
      </c>
      <c r="G443" s="42">
        <v>0</v>
      </c>
      <c r="H443" s="42">
        <v>0</v>
      </c>
      <c r="I443" s="42">
        <v>0</v>
      </c>
      <c r="J443" s="42">
        <v>0</v>
      </c>
      <c r="K443" s="42">
        <v>0</v>
      </c>
      <c r="L443" s="42">
        <v>0</v>
      </c>
      <c r="M443" s="204">
        <f>SUM(E443:L443)</f>
        <v>4000000</v>
      </c>
      <c r="N443" s="45" t="s">
        <v>426</v>
      </c>
      <c r="O443" s="45" t="s">
        <v>435</v>
      </c>
      <c r="P443" s="325" t="s">
        <v>436</v>
      </c>
      <c r="Q443" s="326"/>
      <c r="R443" s="326"/>
      <c r="S443" s="326"/>
      <c r="T443" s="326"/>
      <c r="U443" s="326"/>
      <c r="V443" s="326"/>
      <c r="W443" s="326"/>
      <c r="X443" s="326"/>
      <c r="Y443" s="326"/>
      <c r="Z443" s="326"/>
      <c r="AA443" s="326"/>
      <c r="AB443" s="326"/>
      <c r="AC443" s="326"/>
      <c r="AD443" s="327"/>
    </row>
    <row r="444" spans="1:30">
      <c r="A444" s="56"/>
      <c r="B444" s="56"/>
      <c r="C444" s="56"/>
      <c r="D444" s="141" t="s">
        <v>439</v>
      </c>
      <c r="E444" s="42" t="s">
        <v>840</v>
      </c>
      <c r="F444" s="42" t="s">
        <v>840</v>
      </c>
      <c r="G444" s="42" t="s">
        <v>840</v>
      </c>
      <c r="H444" s="42" t="s">
        <v>840</v>
      </c>
      <c r="I444" s="42" t="s">
        <v>840</v>
      </c>
      <c r="J444" s="42" t="s">
        <v>840</v>
      </c>
      <c r="K444" s="42" t="s">
        <v>840</v>
      </c>
      <c r="L444" s="42" t="s">
        <v>840</v>
      </c>
      <c r="M444" s="204"/>
      <c r="N444" s="45" t="s">
        <v>437</v>
      </c>
      <c r="O444" s="45" t="s">
        <v>438</v>
      </c>
    </row>
    <row r="445" spans="1:30">
      <c r="A445" s="56"/>
      <c r="B445" s="56"/>
      <c r="C445" s="56"/>
      <c r="D445" s="141" t="s">
        <v>841</v>
      </c>
      <c r="E445" s="42">
        <v>0</v>
      </c>
      <c r="F445" s="42">
        <v>0</v>
      </c>
      <c r="G445" s="42">
        <v>0</v>
      </c>
      <c r="H445" s="42">
        <v>0</v>
      </c>
      <c r="I445" s="42">
        <v>0</v>
      </c>
      <c r="J445" s="42">
        <v>0</v>
      </c>
      <c r="K445" s="42">
        <v>0</v>
      </c>
      <c r="L445" s="42">
        <v>0</v>
      </c>
      <c r="M445" s="204">
        <f>SUM(E445:L445)</f>
        <v>0</v>
      </c>
      <c r="N445" s="45" t="s">
        <v>422</v>
      </c>
      <c r="O445" s="45" t="s">
        <v>440</v>
      </c>
    </row>
    <row r="446" spans="1:30" ht="16" thickBot="1">
      <c r="A446" s="56"/>
      <c r="B446" s="56"/>
      <c r="C446" s="56"/>
      <c r="D446" s="201" t="s">
        <v>837</v>
      </c>
      <c r="E446" s="106">
        <v>0</v>
      </c>
      <c r="F446" s="106">
        <v>0</v>
      </c>
      <c r="G446" s="106">
        <v>0</v>
      </c>
      <c r="H446" s="106">
        <v>0</v>
      </c>
      <c r="I446" s="106">
        <v>0</v>
      </c>
      <c r="J446" s="106">
        <v>0</v>
      </c>
      <c r="K446" s="106">
        <v>0</v>
      </c>
      <c r="L446" s="106">
        <v>0</v>
      </c>
      <c r="M446" s="206">
        <f>SUM(E446:L446)</f>
        <v>0</v>
      </c>
      <c r="N446" s="45" t="s">
        <v>426</v>
      </c>
      <c r="O446" s="45" t="s">
        <v>441</v>
      </c>
    </row>
    <row r="447" spans="1:30">
      <c r="A447" s="56"/>
      <c r="B447" s="56"/>
      <c r="C447" s="56"/>
      <c r="D447" s="56"/>
      <c r="E447" s="56"/>
      <c r="F447" s="56"/>
      <c r="G447" s="56"/>
      <c r="H447" s="56"/>
      <c r="I447" s="56"/>
      <c r="J447" s="7"/>
      <c r="K447" s="7"/>
      <c r="L447" s="7"/>
      <c r="M447" s="7"/>
      <c r="N447" s="7"/>
    </row>
    <row r="448" spans="1:30" ht="16" thickBot="1">
      <c r="A448" s="56"/>
      <c r="B448" s="56"/>
      <c r="C448" s="56"/>
      <c r="D448" s="56"/>
      <c r="E448" s="56"/>
      <c r="F448" s="56"/>
      <c r="G448" s="56"/>
      <c r="H448" s="56"/>
      <c r="I448" s="56"/>
      <c r="J448" s="7"/>
      <c r="K448" s="7"/>
      <c r="L448" s="7"/>
      <c r="M448" s="7"/>
      <c r="N448" s="7"/>
    </row>
    <row r="449" spans="1:15" ht="16" thickBot="1">
      <c r="A449" s="56"/>
      <c r="B449" s="56"/>
      <c r="C449" s="56"/>
      <c r="D449" s="296" t="s">
        <v>842</v>
      </c>
      <c r="E449" s="297"/>
      <c r="F449" s="297"/>
      <c r="G449" s="297"/>
      <c r="H449" s="297"/>
      <c r="I449" s="297"/>
      <c r="J449" s="297"/>
      <c r="K449" s="297"/>
      <c r="L449" s="297"/>
      <c r="M449" s="298"/>
      <c r="N449" s="45" t="s">
        <v>442</v>
      </c>
      <c r="O449" s="45"/>
    </row>
    <row r="450" spans="1:15" ht="16" thickBot="1">
      <c r="A450" s="56"/>
      <c r="B450" s="56"/>
      <c r="C450" s="56"/>
      <c r="D450" s="214"/>
      <c r="E450" s="211" t="str">
        <f>+E441</f>
        <v>Nord Stream AG (Stateless Permanent Establishment Denmark)</v>
      </c>
      <c r="F450" s="211">
        <f t="shared" ref="F450:L452" si="26">+F441</f>
        <v>0</v>
      </c>
      <c r="G450" s="211">
        <f t="shared" si="26"/>
        <v>0</v>
      </c>
      <c r="H450" s="211">
        <f t="shared" si="26"/>
        <v>0</v>
      </c>
      <c r="I450" s="211">
        <f t="shared" si="26"/>
        <v>0</v>
      </c>
      <c r="J450" s="211">
        <f t="shared" si="26"/>
        <v>0</v>
      </c>
      <c r="K450" s="211">
        <f t="shared" si="26"/>
        <v>0</v>
      </c>
      <c r="L450" s="211">
        <f t="shared" si="26"/>
        <v>0</v>
      </c>
      <c r="M450" s="212" t="s">
        <v>843</v>
      </c>
      <c r="N450" s="45"/>
      <c r="O450" s="45"/>
    </row>
    <row r="451" spans="1:15">
      <c r="A451" s="56"/>
      <c r="B451" s="56"/>
      <c r="C451" s="56"/>
      <c r="D451" s="168" t="s">
        <v>838</v>
      </c>
      <c r="E451" s="219">
        <f>+E442</f>
        <v>300000</v>
      </c>
      <c r="F451" s="219">
        <f t="shared" si="26"/>
        <v>0</v>
      </c>
      <c r="G451" s="219">
        <f t="shared" si="26"/>
        <v>0</v>
      </c>
      <c r="H451" s="219">
        <f t="shared" si="26"/>
        <v>0</v>
      </c>
      <c r="I451" s="219">
        <f t="shared" si="26"/>
        <v>0</v>
      </c>
      <c r="J451" s="219">
        <f t="shared" si="26"/>
        <v>0</v>
      </c>
      <c r="K451" s="219">
        <f t="shared" si="26"/>
        <v>0</v>
      </c>
      <c r="L451" s="219">
        <f t="shared" si="26"/>
        <v>0</v>
      </c>
      <c r="M451" s="220">
        <f>+M442</f>
        <v>300000</v>
      </c>
      <c r="N451" s="45" t="s">
        <v>422</v>
      </c>
      <c r="O451" s="45" t="s">
        <v>443</v>
      </c>
    </row>
    <row r="452" spans="1:15" ht="15" customHeight="1">
      <c r="A452" s="56"/>
      <c r="B452" s="56"/>
      <c r="C452" s="56"/>
      <c r="D452" s="161" t="s">
        <v>839</v>
      </c>
      <c r="E452" s="215">
        <f>+E443</f>
        <v>4000000</v>
      </c>
      <c r="F452" s="215">
        <f t="shared" si="26"/>
        <v>0</v>
      </c>
      <c r="G452" s="215">
        <f t="shared" si="26"/>
        <v>0</v>
      </c>
      <c r="H452" s="215">
        <f t="shared" si="26"/>
        <v>0</v>
      </c>
      <c r="I452" s="215">
        <f t="shared" si="26"/>
        <v>0</v>
      </c>
      <c r="J452" s="215">
        <f t="shared" si="26"/>
        <v>0</v>
      </c>
      <c r="K452" s="215">
        <f t="shared" si="26"/>
        <v>0</v>
      </c>
      <c r="L452" s="215">
        <f t="shared" si="26"/>
        <v>0</v>
      </c>
      <c r="M452" s="221">
        <f>+M443</f>
        <v>4000000</v>
      </c>
      <c r="N452" s="45" t="s">
        <v>426</v>
      </c>
      <c r="O452" s="45" t="s">
        <v>444</v>
      </c>
    </row>
    <row r="453" spans="1:15">
      <c r="A453" s="56"/>
      <c r="B453" s="56"/>
      <c r="C453" s="56"/>
      <c r="D453" s="161" t="s">
        <v>446</v>
      </c>
      <c r="E453" s="42" t="s">
        <v>844</v>
      </c>
      <c r="F453" s="42" t="s">
        <v>844</v>
      </c>
      <c r="G453" s="42" t="s">
        <v>844</v>
      </c>
      <c r="H453" s="42" t="s">
        <v>844</v>
      </c>
      <c r="I453" s="42" t="s">
        <v>844</v>
      </c>
      <c r="J453" s="42" t="s">
        <v>844</v>
      </c>
      <c r="K453" s="42" t="s">
        <v>844</v>
      </c>
      <c r="L453" s="42" t="s">
        <v>844</v>
      </c>
      <c r="M453" s="222"/>
      <c r="N453" s="45" t="s">
        <v>437</v>
      </c>
      <c r="O453" s="45" t="s">
        <v>445</v>
      </c>
    </row>
    <row r="454" spans="1:15">
      <c r="A454" s="56"/>
      <c r="B454" s="56"/>
      <c r="C454" s="56"/>
      <c r="D454" s="161" t="s">
        <v>448</v>
      </c>
      <c r="E454" s="42">
        <v>0</v>
      </c>
      <c r="F454" s="42">
        <v>0</v>
      </c>
      <c r="G454" s="42">
        <v>0</v>
      </c>
      <c r="H454" s="42">
        <v>0</v>
      </c>
      <c r="I454" s="42">
        <v>0</v>
      </c>
      <c r="J454" s="42">
        <v>0</v>
      </c>
      <c r="K454" s="42">
        <v>0</v>
      </c>
      <c r="L454" s="42">
        <v>0</v>
      </c>
      <c r="M454" s="204">
        <f>SUM(E454:L454)</f>
        <v>0</v>
      </c>
      <c r="N454" s="45" t="s">
        <v>422</v>
      </c>
      <c r="O454" s="45" t="s">
        <v>447</v>
      </c>
    </row>
    <row r="455" spans="1:15" ht="16" thickBot="1">
      <c r="A455" s="56"/>
      <c r="B455" s="56"/>
      <c r="C455" s="56"/>
      <c r="D455" s="162" t="s">
        <v>450</v>
      </c>
      <c r="E455" s="106">
        <v>0</v>
      </c>
      <c r="F455" s="106">
        <v>0</v>
      </c>
      <c r="G455" s="106">
        <v>0</v>
      </c>
      <c r="H455" s="106">
        <v>0</v>
      </c>
      <c r="I455" s="106">
        <v>0</v>
      </c>
      <c r="J455" s="106">
        <v>0</v>
      </c>
      <c r="K455" s="106">
        <v>0</v>
      </c>
      <c r="L455" s="106">
        <v>0</v>
      </c>
      <c r="M455" s="206">
        <f>SUM(E455:L455)</f>
        <v>0</v>
      </c>
      <c r="N455" s="45" t="s">
        <v>426</v>
      </c>
      <c r="O455" s="45" t="s">
        <v>449</v>
      </c>
    </row>
    <row r="456" spans="1:15" ht="15" customHeight="1" thickBot="1"/>
    <row r="457" spans="1:15" ht="15" hidden="1" customHeight="1" thickBot="1"/>
    <row r="458" spans="1:15" ht="16" thickBot="1">
      <c r="D458" s="296" t="s">
        <v>451</v>
      </c>
      <c r="E458" s="298" t="s">
        <v>102</v>
      </c>
      <c r="F458" s="10"/>
      <c r="G458" s="10"/>
      <c r="H458" s="10"/>
      <c r="I458" s="10"/>
      <c r="J458" s="10"/>
      <c r="K458" s="10"/>
      <c r="L458" s="10"/>
      <c r="M458" s="10"/>
      <c r="N458" s="10"/>
    </row>
    <row r="459" spans="1:15" ht="16" thickBot="1">
      <c r="D459" s="296" t="s">
        <v>845</v>
      </c>
      <c r="E459" s="298"/>
      <c r="F459" s="5"/>
      <c r="G459" s="5"/>
      <c r="H459" s="5"/>
      <c r="I459" s="5"/>
      <c r="J459" s="5"/>
      <c r="K459" s="5"/>
      <c r="L459" s="5"/>
      <c r="M459" s="5"/>
      <c r="N459" s="5"/>
    </row>
    <row r="460" spans="1:15">
      <c r="D460" s="202" t="s">
        <v>846</v>
      </c>
      <c r="E460" s="195"/>
      <c r="F460" s="45" t="s">
        <v>452</v>
      </c>
      <c r="G460" s="5"/>
      <c r="H460" s="5"/>
      <c r="I460" s="5"/>
      <c r="J460" s="5"/>
      <c r="K460" s="5"/>
      <c r="L460" s="5"/>
      <c r="M460" s="5"/>
      <c r="N460" s="5"/>
    </row>
    <row r="461" spans="1:15" ht="16" thickBot="1">
      <c r="D461" s="208" t="s">
        <v>847</v>
      </c>
      <c r="E461" s="112"/>
      <c r="F461" s="45" t="s">
        <v>374</v>
      </c>
      <c r="G461" s="5"/>
      <c r="H461" s="5"/>
      <c r="I461" s="56"/>
      <c r="J461" s="56"/>
      <c r="K461" s="56"/>
      <c r="L461" s="56"/>
      <c r="M461" s="5"/>
      <c r="N461" s="5"/>
    </row>
    <row r="462" spans="1:15">
      <c r="D462" s="216" t="s">
        <v>848</v>
      </c>
      <c r="E462" s="217" t="s">
        <v>849</v>
      </c>
      <c r="F462" s="218" t="s">
        <v>850</v>
      </c>
      <c r="G462" s="5"/>
      <c r="H462" s="5"/>
      <c r="I462" s="56"/>
      <c r="J462" s="56"/>
      <c r="K462" s="56"/>
      <c r="L462" s="56"/>
      <c r="M462" s="5"/>
      <c r="N462" s="5"/>
    </row>
    <row r="463" spans="1:15">
      <c r="D463" s="24" t="s">
        <v>851</v>
      </c>
      <c r="E463" s="42"/>
      <c r="F463" s="41"/>
      <c r="G463" s="45" t="s">
        <v>10</v>
      </c>
      <c r="H463" s="5"/>
      <c r="I463" s="56"/>
      <c r="J463" s="56"/>
      <c r="K463" s="56"/>
      <c r="L463" s="56"/>
      <c r="M463" s="5"/>
      <c r="N463" s="5"/>
    </row>
    <row r="464" spans="1:15">
      <c r="D464" s="24" t="s">
        <v>852</v>
      </c>
      <c r="E464" s="42"/>
      <c r="F464" s="41"/>
      <c r="G464" s="45" t="s">
        <v>14</v>
      </c>
      <c r="H464" s="5"/>
      <c r="I464" s="56"/>
      <c r="J464" s="56"/>
      <c r="K464" s="56"/>
      <c r="L464" s="56"/>
      <c r="M464" s="5"/>
      <c r="N464" s="5"/>
    </row>
    <row r="465" spans="4:14">
      <c r="D465" s="24" t="s">
        <v>853</v>
      </c>
      <c r="E465" s="42"/>
      <c r="F465" s="41"/>
      <c r="G465" s="45" t="s">
        <v>16</v>
      </c>
      <c r="H465" s="5"/>
      <c r="I465" s="5"/>
      <c r="J465" s="5"/>
      <c r="K465" s="5"/>
      <c r="L465" s="5"/>
      <c r="M465" s="5"/>
      <c r="N465" s="5"/>
    </row>
    <row r="466" spans="4:14">
      <c r="D466" s="24" t="s">
        <v>854</v>
      </c>
      <c r="E466" s="42"/>
      <c r="F466" s="41"/>
      <c r="G466" s="45" t="s">
        <v>453</v>
      </c>
      <c r="H466" s="5"/>
      <c r="I466" s="5"/>
      <c r="J466" s="5"/>
      <c r="K466" s="5"/>
      <c r="L466" s="5"/>
      <c r="M466" s="5"/>
      <c r="N466" s="5"/>
    </row>
    <row r="467" spans="4:14">
      <c r="D467" s="24" t="s">
        <v>855</v>
      </c>
      <c r="E467" s="42"/>
      <c r="F467" s="41"/>
      <c r="G467" s="45" t="s">
        <v>408</v>
      </c>
      <c r="H467" s="5"/>
      <c r="I467" s="5"/>
      <c r="J467" s="5"/>
      <c r="K467" s="5"/>
      <c r="L467" s="5"/>
      <c r="M467" s="5"/>
      <c r="N467" s="5"/>
    </row>
    <row r="468" spans="4:14">
      <c r="D468" s="24" t="s">
        <v>856</v>
      </c>
      <c r="E468" s="42"/>
      <c r="F468" s="41"/>
      <c r="G468" s="45" t="s">
        <v>418</v>
      </c>
      <c r="H468" s="5"/>
      <c r="I468" s="5"/>
      <c r="J468" s="5"/>
      <c r="K468" s="5"/>
      <c r="L468" s="5"/>
      <c r="M468" s="5"/>
      <c r="N468" s="5"/>
    </row>
    <row r="469" spans="4:14" ht="16" thickBot="1">
      <c r="D469" s="25" t="s">
        <v>857</v>
      </c>
      <c r="E469" s="381"/>
      <c r="F469" s="382"/>
      <c r="G469" s="45" t="s">
        <v>414</v>
      </c>
      <c r="H469" s="5"/>
      <c r="I469" s="5"/>
      <c r="J469" s="5"/>
      <c r="K469" s="5"/>
      <c r="L469" s="5"/>
      <c r="M469" s="5"/>
      <c r="N469" s="5"/>
    </row>
    <row r="470" spans="4:14" ht="16" thickBot="1">
      <c r="E470" s="5"/>
      <c r="F470" s="5"/>
      <c r="G470" s="5"/>
      <c r="H470" s="5"/>
      <c r="I470" s="5"/>
      <c r="J470" s="5"/>
      <c r="K470" s="5"/>
      <c r="L470" s="5"/>
      <c r="M470" s="5"/>
      <c r="N470" s="5"/>
    </row>
    <row r="471" spans="4:14" ht="16" thickBot="1">
      <c r="D471" s="296" t="s">
        <v>858</v>
      </c>
      <c r="E471" s="298" t="s">
        <v>455</v>
      </c>
      <c r="F471" s="45" t="s">
        <v>454</v>
      </c>
      <c r="G471" s="5"/>
      <c r="H471" s="5"/>
      <c r="I471" s="5"/>
      <c r="J471" s="5"/>
      <c r="K471" s="5"/>
      <c r="L471" s="5"/>
      <c r="M471" s="5"/>
      <c r="N471" s="5"/>
    </row>
    <row r="472" spans="4:14">
      <c r="D472" s="202" t="s">
        <v>859</v>
      </c>
      <c r="E472" s="195"/>
      <c r="F472" s="45" t="s">
        <v>101</v>
      </c>
      <c r="G472" s="5"/>
      <c r="H472" s="5"/>
      <c r="I472" s="5"/>
      <c r="J472" s="5"/>
      <c r="K472" s="5"/>
      <c r="L472" s="5"/>
      <c r="M472" s="5"/>
      <c r="N472" s="5"/>
    </row>
    <row r="473" spans="4:14">
      <c r="D473" s="24" t="s">
        <v>860</v>
      </c>
      <c r="E473" s="41"/>
      <c r="F473" s="45" t="s">
        <v>456</v>
      </c>
      <c r="G473" s="56"/>
      <c r="H473" s="5"/>
      <c r="I473" s="5"/>
      <c r="J473" s="5"/>
      <c r="K473" s="5"/>
      <c r="L473" s="5"/>
      <c r="M473" s="5"/>
      <c r="N473" s="5"/>
    </row>
    <row r="474" spans="4:14">
      <c r="D474" s="24" t="s">
        <v>861</v>
      </c>
      <c r="E474" s="41"/>
      <c r="F474" s="45" t="s">
        <v>457</v>
      </c>
      <c r="G474" s="5"/>
      <c r="H474" s="5"/>
      <c r="I474" s="5"/>
      <c r="J474" s="5"/>
      <c r="K474" s="5"/>
      <c r="L474" s="5"/>
      <c r="M474" s="5"/>
      <c r="N474" s="5"/>
    </row>
    <row r="475" spans="4:14" ht="16" thickBot="1">
      <c r="D475" s="25" t="s">
        <v>862</v>
      </c>
      <c r="E475" s="99"/>
      <c r="F475" s="45" t="s">
        <v>414</v>
      </c>
      <c r="G475" s="56"/>
      <c r="H475" s="56"/>
      <c r="I475" s="56"/>
      <c r="J475" s="5"/>
      <c r="K475" s="5"/>
      <c r="L475" s="5"/>
      <c r="M475" s="5"/>
      <c r="N475" s="5"/>
    </row>
    <row r="476" spans="4:14" ht="16" thickBot="1">
      <c r="D476" s="8"/>
      <c r="E476" s="5"/>
      <c r="F476" s="11"/>
      <c r="G476" s="9"/>
      <c r="H476" s="8"/>
      <c r="I476" s="8"/>
      <c r="J476" s="9"/>
      <c r="K476" s="9"/>
      <c r="L476" s="9"/>
      <c r="N476" s="8"/>
    </row>
    <row r="477" spans="4:14" ht="16" thickBot="1">
      <c r="D477" s="311" t="s">
        <v>863</v>
      </c>
      <c r="E477" s="312"/>
    </row>
    <row r="478" spans="4:14">
      <c r="D478" s="223" t="s">
        <v>867</v>
      </c>
      <c r="E478" s="195"/>
    </row>
    <row r="479" spans="4:14">
      <c r="D479" s="93" t="s">
        <v>868</v>
      </c>
      <c r="E479" s="41"/>
    </row>
    <row r="480" spans="4:14">
      <c r="D480" s="93" t="s">
        <v>869</v>
      </c>
      <c r="E480" s="41"/>
    </row>
    <row r="481" spans="4:5">
      <c r="D481" s="93" t="s">
        <v>870</v>
      </c>
      <c r="E481" s="41"/>
    </row>
    <row r="482" spans="4:5">
      <c r="D482" s="93" t="s">
        <v>871</v>
      </c>
      <c r="E482" s="41"/>
    </row>
    <row r="483" spans="4:5">
      <c r="D483" s="93" t="s">
        <v>872</v>
      </c>
      <c r="E483" s="41" t="s">
        <v>650</v>
      </c>
    </row>
    <row r="484" spans="4:5">
      <c r="D484" s="93" t="s">
        <v>864</v>
      </c>
      <c r="E484" s="41"/>
    </row>
    <row r="485" spans="4:5">
      <c r="D485" s="93" t="s">
        <v>865</v>
      </c>
      <c r="E485" s="41"/>
    </row>
    <row r="486" spans="4:5">
      <c r="D486" s="93" t="s">
        <v>866</v>
      </c>
      <c r="E486" s="41"/>
    </row>
    <row r="487" spans="4:5">
      <c r="D487" s="93" t="s">
        <v>873</v>
      </c>
      <c r="E487" s="41" t="s">
        <v>650</v>
      </c>
    </row>
    <row r="488" spans="4:5" ht="16" thickBot="1">
      <c r="D488" s="158" t="s">
        <v>874</v>
      </c>
      <c r="E488" s="99" t="s">
        <v>650</v>
      </c>
    </row>
    <row r="489" spans="4:5" ht="16" thickBot="1"/>
    <row r="490" spans="4:5" ht="16" thickBot="1">
      <c r="D490" s="311" t="s">
        <v>875</v>
      </c>
      <c r="E490" s="312"/>
    </row>
    <row r="491" spans="4:5" ht="16" thickBot="1">
      <c r="D491" s="311" t="s">
        <v>876</v>
      </c>
      <c r="E491" s="312"/>
    </row>
    <row r="492" spans="4:5">
      <c r="D492" s="388" t="s">
        <v>877</v>
      </c>
      <c r="E492" s="389"/>
    </row>
    <row r="493" spans="4:5">
      <c r="D493" s="93" t="s">
        <v>880</v>
      </c>
      <c r="E493" s="41"/>
    </row>
    <row r="494" spans="4:5">
      <c r="D494" s="93" t="s">
        <v>881</v>
      </c>
      <c r="E494" s="41"/>
    </row>
    <row r="495" spans="4:5" ht="16" thickBot="1">
      <c r="D495" s="158" t="s">
        <v>882</v>
      </c>
      <c r="E495" s="41"/>
    </row>
    <row r="496" spans="4:5">
      <c r="D496" s="388" t="s">
        <v>878</v>
      </c>
      <c r="E496" s="389"/>
    </row>
    <row r="497" spans="4:11">
      <c r="D497" s="93" t="s">
        <v>883</v>
      </c>
      <c r="E497" s="41"/>
    </row>
    <row r="498" spans="4:11">
      <c r="D498" s="93" t="s">
        <v>884</v>
      </c>
      <c r="E498" s="41"/>
    </row>
    <row r="499" spans="4:11">
      <c r="D499" s="93" t="s">
        <v>885</v>
      </c>
      <c r="E499" s="41"/>
    </row>
    <row r="500" spans="4:11" ht="16" thickBot="1">
      <c r="D500" s="158" t="s">
        <v>886</v>
      </c>
      <c r="E500" s="41"/>
    </row>
    <row r="501" spans="4:11">
      <c r="D501" s="388" t="s">
        <v>879</v>
      </c>
      <c r="E501" s="389"/>
    </row>
    <row r="502" spans="4:11">
      <c r="D502" s="93" t="s">
        <v>887</v>
      </c>
      <c r="E502" s="41"/>
    </row>
    <row r="503" spans="4:11">
      <c r="D503" s="93" t="s">
        <v>888</v>
      </c>
      <c r="E503" s="41"/>
    </row>
    <row r="504" spans="4:11" ht="16" thickBot="1">
      <c r="D504" s="158" t="s">
        <v>889</v>
      </c>
      <c r="E504" s="99"/>
    </row>
    <row r="505" spans="4:11" ht="16" thickBot="1"/>
    <row r="506" spans="4:11" ht="16" thickBot="1">
      <c r="D506" s="390" t="s">
        <v>890</v>
      </c>
      <c r="E506" s="391"/>
    </row>
    <row r="507" spans="4:11">
      <c r="D507" s="223" t="s">
        <v>891</v>
      </c>
      <c r="E507" s="195"/>
    </row>
    <row r="508" spans="4:11">
      <c r="D508" s="93" t="s">
        <v>892</v>
      </c>
      <c r="E508" s="41"/>
    </row>
    <row r="509" spans="4:11" ht="16" thickBot="1">
      <c r="D509" s="158" t="s">
        <v>893</v>
      </c>
      <c r="E509" s="99"/>
    </row>
    <row r="510" spans="4:11" ht="16" thickBot="1"/>
    <row r="511" spans="4:11" ht="16" thickBot="1">
      <c r="D511" s="392" t="s">
        <v>894</v>
      </c>
      <c r="E511" s="393"/>
    </row>
    <row r="512" spans="4:11">
      <c r="D512" s="223" t="s">
        <v>895</v>
      </c>
      <c r="E512" s="225" t="s">
        <v>896</v>
      </c>
      <c r="F512" s="225" t="s">
        <v>897</v>
      </c>
      <c r="G512" s="225" t="s">
        <v>898</v>
      </c>
      <c r="H512" s="225" t="s">
        <v>899</v>
      </c>
      <c r="I512" s="225" t="s">
        <v>900</v>
      </c>
      <c r="J512" s="225" t="s">
        <v>901</v>
      </c>
      <c r="K512" s="224" t="s">
        <v>902</v>
      </c>
    </row>
    <row r="513" spans="4:11" ht="16" thickBot="1">
      <c r="D513" s="107"/>
      <c r="E513" s="106"/>
      <c r="F513" s="106"/>
      <c r="G513" s="106"/>
      <c r="H513" s="106"/>
      <c r="I513" s="106"/>
      <c r="J513" s="106"/>
      <c r="K513" s="99"/>
    </row>
  </sheetData>
  <mergeCells count="166">
    <mergeCell ref="D491:E491"/>
    <mergeCell ref="D492:E492"/>
    <mergeCell ref="D496:E496"/>
    <mergeCell ref="D501:E501"/>
    <mergeCell ref="D506:E506"/>
    <mergeCell ref="D511:E511"/>
    <mergeCell ref="D458:E458"/>
    <mergeCell ref="D459:E459"/>
    <mergeCell ref="E469:F469"/>
    <mergeCell ref="D471:E471"/>
    <mergeCell ref="D477:E477"/>
    <mergeCell ref="D490:E490"/>
    <mergeCell ref="D433:E433"/>
    <mergeCell ref="D436:E436"/>
    <mergeCell ref="D440:M440"/>
    <mergeCell ref="P442:AD442"/>
    <mergeCell ref="P443:AD443"/>
    <mergeCell ref="D449:M449"/>
    <mergeCell ref="D413:L413"/>
    <mergeCell ref="D418:E418"/>
    <mergeCell ref="D419:E419"/>
    <mergeCell ref="D428:E428"/>
    <mergeCell ref="D429:E429"/>
    <mergeCell ref="D430:E430"/>
    <mergeCell ref="D388:M388"/>
    <mergeCell ref="D393:M393"/>
    <mergeCell ref="D396:M396"/>
    <mergeCell ref="D399:E399"/>
    <mergeCell ref="D405:E405"/>
    <mergeCell ref="D406:E406"/>
    <mergeCell ref="O367:AC369"/>
    <mergeCell ref="O370:AC372"/>
    <mergeCell ref="O373:AC375"/>
    <mergeCell ref="D380:M380"/>
    <mergeCell ref="D381:M381"/>
    <mergeCell ref="D383:M383"/>
    <mergeCell ref="P343:AD343"/>
    <mergeCell ref="D348:L348"/>
    <mergeCell ref="D350:L350"/>
    <mergeCell ref="O351:AC351"/>
    <mergeCell ref="D354:L354"/>
    <mergeCell ref="O364:AC366"/>
    <mergeCell ref="P333:AD333"/>
    <mergeCell ref="P334:AD334"/>
    <mergeCell ref="P335:AD335"/>
    <mergeCell ref="P336:AD336"/>
    <mergeCell ref="P337:AD337"/>
    <mergeCell ref="P338:AD338"/>
    <mergeCell ref="P327:AD327"/>
    <mergeCell ref="P328:AD328"/>
    <mergeCell ref="P329:AD329"/>
    <mergeCell ref="P330:AD330"/>
    <mergeCell ref="P331:AD331"/>
    <mergeCell ref="P332:AD332"/>
    <mergeCell ref="P307:AD307"/>
    <mergeCell ref="P308:AD308"/>
    <mergeCell ref="P310:AD310"/>
    <mergeCell ref="D313:M313"/>
    <mergeCell ref="D323:M323"/>
    <mergeCell ref="D326:L326"/>
    <mergeCell ref="P299:AD299"/>
    <mergeCell ref="P300:AD300"/>
    <mergeCell ref="P301:AD301"/>
    <mergeCell ref="P302:AD302"/>
    <mergeCell ref="P303:AD303"/>
    <mergeCell ref="P304:AD304"/>
    <mergeCell ref="D293:M293"/>
    <mergeCell ref="P294:AD294"/>
    <mergeCell ref="P295:AD295"/>
    <mergeCell ref="P296:AD296"/>
    <mergeCell ref="P297:AD297"/>
    <mergeCell ref="P298:AD298"/>
    <mergeCell ref="D263:M263"/>
    <mergeCell ref="P265:AD265"/>
    <mergeCell ref="D273:M273"/>
    <mergeCell ref="D281:M281"/>
    <mergeCell ref="D289:M289"/>
    <mergeCell ref="D290:M290"/>
    <mergeCell ref="P254:AD254"/>
    <mergeCell ref="P255:AD255"/>
    <mergeCell ref="P257:AD257"/>
    <mergeCell ref="P258:AD258"/>
    <mergeCell ref="P259:AD259"/>
    <mergeCell ref="P260:AD260"/>
    <mergeCell ref="P245:AD245"/>
    <mergeCell ref="P247:AD247"/>
    <mergeCell ref="P248:AD248"/>
    <mergeCell ref="P251:AD251"/>
    <mergeCell ref="P252:AD252"/>
    <mergeCell ref="P253:AD253"/>
    <mergeCell ref="P239:AD239"/>
    <mergeCell ref="P240:AD240"/>
    <mergeCell ref="P241:AD241"/>
    <mergeCell ref="P242:AD242"/>
    <mergeCell ref="P243:AD243"/>
    <mergeCell ref="P244:AD244"/>
    <mergeCell ref="D231:M231"/>
    <mergeCell ref="D234:M234"/>
    <mergeCell ref="P235:AD235"/>
    <mergeCell ref="P236:AD236"/>
    <mergeCell ref="P237:AD237"/>
    <mergeCell ref="P238:AD238"/>
    <mergeCell ref="D222:E222"/>
    <mergeCell ref="G222:P222"/>
    <mergeCell ref="D223:E223"/>
    <mergeCell ref="D226:E226"/>
    <mergeCell ref="F226:F228"/>
    <mergeCell ref="D230:M230"/>
    <mergeCell ref="D209:D210"/>
    <mergeCell ref="E209:E210"/>
    <mergeCell ref="F209:I209"/>
    <mergeCell ref="K209:K215"/>
    <mergeCell ref="D217:F217"/>
    <mergeCell ref="G218:G219"/>
    <mergeCell ref="H197:Q197"/>
    <mergeCell ref="D199:E199"/>
    <mergeCell ref="D200:E200"/>
    <mergeCell ref="D206:E206"/>
    <mergeCell ref="G207:P207"/>
    <mergeCell ref="D208:J208"/>
    <mergeCell ref="G186:Q186"/>
    <mergeCell ref="G187:Q187"/>
    <mergeCell ref="G188:Q188"/>
    <mergeCell ref="G189:Q189"/>
    <mergeCell ref="G190:G195"/>
    <mergeCell ref="H191:Q191"/>
    <mergeCell ref="H192:Q192"/>
    <mergeCell ref="H193:Q193"/>
    <mergeCell ref="H194:Q194"/>
    <mergeCell ref="D172:G172"/>
    <mergeCell ref="D176:H176"/>
    <mergeCell ref="J177:N179"/>
    <mergeCell ref="D182:E182"/>
    <mergeCell ref="D183:E183"/>
    <mergeCell ref="D184:E184"/>
    <mergeCell ref="D154:E154"/>
    <mergeCell ref="D155:E155"/>
    <mergeCell ref="D160:F160"/>
    <mergeCell ref="D166:E166"/>
    <mergeCell ref="D168:E168"/>
    <mergeCell ref="D169:E169"/>
    <mergeCell ref="D119:E119"/>
    <mergeCell ref="E120:E122"/>
    <mergeCell ref="D123:E123"/>
    <mergeCell ref="D126:E126"/>
    <mergeCell ref="D147:F147"/>
    <mergeCell ref="H147:M151"/>
    <mergeCell ref="G148:G151"/>
    <mergeCell ref="G106:G109"/>
    <mergeCell ref="D109:E109"/>
    <mergeCell ref="D112:E112"/>
    <mergeCell ref="D113:E113"/>
    <mergeCell ref="D114:F114"/>
    <mergeCell ref="E115:E118"/>
    <mergeCell ref="D71:E71"/>
    <mergeCell ref="D72:E72"/>
    <mergeCell ref="I76:R76"/>
    <mergeCell ref="D98:E98"/>
    <mergeCell ref="H98:K102"/>
    <mergeCell ref="D105:F105"/>
    <mergeCell ref="D2:E2"/>
    <mergeCell ref="D3:E3"/>
    <mergeCell ref="D9:E9"/>
    <mergeCell ref="D30:E30"/>
    <mergeCell ref="D31:E31"/>
    <mergeCell ref="D39:E39"/>
  </mergeCells>
  <dataValidations count="4">
    <dataValidation type="list" allowBlank="1" showInputMessage="1" showErrorMessage="1" sqref="D228:E228" xr:uid="{EB75E918-1465-4D40-9477-1CB5E98A1AEE}">
      <formula1>$A$228:$A$229</formula1>
    </dataValidation>
    <dataValidation type="list" allowBlank="1" showInputMessage="1" showErrorMessage="1" sqref="E162:F164 E191:F195 E197:F197" xr:uid="{F30344DC-8418-4B6F-8162-6A5F2770BFA2}">
      <formula1>$A$162:$A$163</formula1>
    </dataValidation>
    <dataValidation type="list" allowBlank="1" showInputMessage="1" showErrorMessage="1" sqref="E186:E189 E207 E224 E483 E373:L373 E376:L376 E358:L358 E361:L361 E364:L364 E367:L367 E370:L370 E487:E488 E351:L355" xr:uid="{5E7F478B-E6EC-4664-B864-B5BEBAD271E0}">
      <formula1>$A$186:$A$188</formula1>
    </dataValidation>
    <dataValidation type="list" allowBlank="1" showInputMessage="1" showErrorMessage="1" sqref="D178:D179" xr:uid="{3C4E3FFC-93AB-4AFB-AC7C-2F0A8A5BB87C}">
      <formula1>$A$178:$A$179</formula1>
    </dataValidation>
  </dataValidations>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F9A8E-F7BD-436C-927E-2FADFB7476AF}">
  <dimension ref="A1:AD513"/>
  <sheetViews>
    <sheetView topLeftCell="C1" zoomScale="50" zoomScaleNormal="50" workbookViewId="0">
      <selection activeCell="E266" sqref="E266"/>
    </sheetView>
  </sheetViews>
  <sheetFormatPr baseColWidth="10" defaultColWidth="8.25" defaultRowHeight="15.5"/>
  <cols>
    <col min="1" max="3" width="14.33203125" style="14" customWidth="1"/>
    <col min="4" max="4" width="119.58203125" style="14" customWidth="1"/>
    <col min="5" max="5" width="61.75" style="14" customWidth="1"/>
    <col min="6" max="6" width="45.4140625" style="14" customWidth="1"/>
    <col min="7" max="8" width="45.9140625" style="14" customWidth="1"/>
    <col min="9" max="9" width="61.4140625" style="14" customWidth="1"/>
    <col min="10" max="10" width="62.4140625" style="14" customWidth="1"/>
    <col min="11" max="12" width="45.9140625" style="14" customWidth="1"/>
    <col min="13" max="13" width="25" style="14" customWidth="1"/>
    <col min="14" max="14" width="22.5" style="14" customWidth="1"/>
    <col min="15" max="15" width="22.58203125" style="56" customWidth="1"/>
    <col min="16" max="16384" width="8.25" style="56"/>
  </cols>
  <sheetData>
    <row r="1" spans="1:14" ht="16" thickBot="1"/>
    <row r="2" spans="1:14" ht="25.5" thickBot="1">
      <c r="D2" s="263" t="s">
        <v>458</v>
      </c>
      <c r="E2" s="265"/>
      <c r="F2" s="7"/>
      <c r="G2" s="7"/>
      <c r="H2" s="7"/>
      <c r="I2" s="7"/>
      <c r="J2" s="7"/>
      <c r="K2" s="13"/>
      <c r="L2" s="7"/>
      <c r="M2" s="7"/>
    </row>
    <row r="3" spans="1:14" ht="31" customHeight="1">
      <c r="A3" s="7"/>
      <c r="B3" s="7"/>
      <c r="C3" s="7"/>
      <c r="D3" s="308" t="s">
        <v>459</v>
      </c>
      <c r="E3" s="308"/>
      <c r="F3" s="7"/>
      <c r="G3" s="7"/>
      <c r="H3" s="7"/>
      <c r="I3" s="7"/>
      <c r="J3" s="7"/>
      <c r="K3" s="7"/>
      <c r="L3" s="7"/>
      <c r="M3" s="7"/>
      <c r="N3" s="7"/>
    </row>
    <row r="4" spans="1:14">
      <c r="A4" s="7"/>
      <c r="B4" s="7"/>
      <c r="C4" s="7"/>
      <c r="D4" s="7"/>
      <c r="E4" s="7"/>
      <c r="F4" s="7"/>
      <c r="G4" s="7"/>
      <c r="H4" s="7"/>
      <c r="I4" s="7"/>
      <c r="J4" s="7"/>
      <c r="K4" s="7"/>
      <c r="L4" s="7"/>
      <c r="M4" s="7"/>
      <c r="N4" s="7"/>
    </row>
    <row r="5" spans="1:14">
      <c r="A5" s="7"/>
      <c r="B5" s="7"/>
      <c r="C5" s="7"/>
      <c r="D5" s="7" t="s">
        <v>461</v>
      </c>
      <c r="E5" s="57" t="s">
        <v>460</v>
      </c>
      <c r="F5" s="7"/>
      <c r="G5" s="7"/>
      <c r="H5" s="7"/>
      <c r="I5" s="7"/>
      <c r="J5" s="7"/>
      <c r="K5" s="7"/>
      <c r="L5" s="7"/>
      <c r="M5" s="7"/>
      <c r="N5" s="7"/>
    </row>
    <row r="6" spans="1:14">
      <c r="A6" s="7"/>
      <c r="B6" s="7"/>
      <c r="C6" s="7"/>
      <c r="D6" s="7" t="s">
        <v>482</v>
      </c>
      <c r="E6" s="58" t="s">
        <v>483</v>
      </c>
      <c r="F6" s="7"/>
      <c r="G6" s="7"/>
      <c r="H6" s="7"/>
      <c r="I6" s="7"/>
      <c r="J6" s="7"/>
      <c r="K6" s="7"/>
      <c r="L6" s="7"/>
      <c r="M6" s="7"/>
      <c r="N6" s="7"/>
    </row>
    <row r="7" spans="1:14">
      <c r="A7" s="7"/>
      <c r="B7" s="7"/>
      <c r="C7" s="7"/>
      <c r="D7" s="7" t="s">
        <v>536</v>
      </c>
      <c r="E7" s="59" t="s">
        <v>537</v>
      </c>
      <c r="F7" s="7"/>
      <c r="G7" s="7"/>
      <c r="H7" s="7"/>
      <c r="I7" s="7"/>
      <c r="J7" s="7"/>
      <c r="K7" s="7"/>
      <c r="L7" s="7"/>
      <c r="M7" s="7"/>
      <c r="N7" s="7"/>
    </row>
    <row r="8" spans="1:14" ht="16" thickBot="1">
      <c r="A8" s="7"/>
      <c r="B8" s="7"/>
      <c r="C8" s="7"/>
      <c r="D8" s="7"/>
      <c r="E8" s="7"/>
      <c r="F8" s="7"/>
      <c r="G8" s="7"/>
      <c r="H8" s="7"/>
      <c r="I8" s="7"/>
      <c r="J8" s="7"/>
      <c r="K8" s="7"/>
      <c r="L8" s="7"/>
      <c r="M8" s="7"/>
      <c r="N8" s="7"/>
    </row>
    <row r="9" spans="1:14" ht="25">
      <c r="D9" s="306" t="s">
        <v>0</v>
      </c>
      <c r="E9" s="307"/>
      <c r="F9" s="7"/>
      <c r="G9" s="7"/>
      <c r="H9" s="7"/>
      <c r="I9" s="7"/>
      <c r="J9" s="7"/>
      <c r="K9" s="7"/>
      <c r="L9" s="7"/>
      <c r="M9" s="7"/>
      <c r="N9" s="7"/>
    </row>
    <row r="10" spans="1:14" ht="17.25" customHeight="1">
      <c r="D10" s="20" t="s">
        <v>463</v>
      </c>
      <c r="E10" s="21" t="s">
        <v>1108</v>
      </c>
      <c r="F10" s="7"/>
      <c r="I10" s="7"/>
      <c r="J10" s="7"/>
      <c r="M10" s="7"/>
      <c r="N10" s="7"/>
    </row>
    <row r="11" spans="1:14" ht="17.25" customHeight="1">
      <c r="D11" s="20" t="s">
        <v>651</v>
      </c>
      <c r="E11" s="21" t="s">
        <v>3</v>
      </c>
      <c r="F11" s="7"/>
      <c r="G11" s="7"/>
      <c r="H11" s="7"/>
      <c r="I11" s="7"/>
      <c r="J11" s="7"/>
      <c r="K11" s="7"/>
      <c r="L11" s="7"/>
      <c r="M11" s="7"/>
      <c r="N11" s="7"/>
    </row>
    <row r="12" spans="1:14" ht="17.25" customHeight="1">
      <c r="D12" s="20" t="s">
        <v>652</v>
      </c>
      <c r="E12" s="21" t="s">
        <v>3</v>
      </c>
      <c r="F12" s="7"/>
      <c r="G12" s="7"/>
      <c r="H12" s="7"/>
      <c r="I12" s="7"/>
      <c r="J12" s="7"/>
      <c r="K12" s="7"/>
      <c r="L12" s="7"/>
      <c r="M12" s="7"/>
      <c r="N12" s="7"/>
    </row>
    <row r="13" spans="1:14" ht="17.25" customHeight="1">
      <c r="D13" s="20" t="s">
        <v>464</v>
      </c>
      <c r="E13" s="21" t="s">
        <v>1108</v>
      </c>
      <c r="F13" s="7"/>
      <c r="G13" s="7"/>
      <c r="H13" s="7"/>
      <c r="I13" s="7"/>
      <c r="J13" s="7"/>
      <c r="K13" s="7"/>
      <c r="L13" s="7"/>
      <c r="M13" s="7"/>
      <c r="N13" s="7"/>
    </row>
    <row r="14" spans="1:14" ht="17.25" customHeight="1">
      <c r="D14" s="20" t="s">
        <v>465</v>
      </c>
      <c r="E14" s="60">
        <f>+E36</f>
        <v>0.70370381481525923</v>
      </c>
      <c r="F14" s="7"/>
      <c r="G14" s="61"/>
      <c r="H14" s="7"/>
      <c r="I14" s="7"/>
      <c r="J14" s="7"/>
      <c r="K14" s="7"/>
      <c r="L14" s="7"/>
      <c r="M14" s="7"/>
      <c r="N14" s="7"/>
    </row>
    <row r="15" spans="1:14" ht="17.25" customHeight="1">
      <c r="D15" s="20" t="s">
        <v>466</v>
      </c>
      <c r="E15" s="62">
        <f>+E35</f>
        <v>234567</v>
      </c>
      <c r="F15" s="7"/>
      <c r="G15" s="7"/>
      <c r="H15" s="7"/>
      <c r="I15" s="7"/>
      <c r="J15" s="7"/>
      <c r="K15" s="7"/>
      <c r="L15" s="7"/>
      <c r="M15" s="7"/>
      <c r="N15" s="7"/>
    </row>
    <row r="16" spans="1:14" ht="17.25" customHeight="1">
      <c r="D16" s="20" t="s">
        <v>467</v>
      </c>
      <c r="E16" s="62">
        <f>+E33</f>
        <v>333332</v>
      </c>
      <c r="F16" s="7"/>
      <c r="G16" s="7"/>
      <c r="H16" s="7"/>
      <c r="I16" s="7"/>
      <c r="J16" s="7"/>
      <c r="K16" s="7"/>
      <c r="L16" s="7"/>
      <c r="M16" s="7"/>
      <c r="N16" s="7"/>
    </row>
    <row r="17" spans="2:14" ht="17.25" customHeight="1">
      <c r="D17" s="20" t="s">
        <v>468</v>
      </c>
      <c r="E17" s="62">
        <f>+E437</f>
        <v>341400</v>
      </c>
      <c r="F17" s="7"/>
      <c r="G17" s="61"/>
      <c r="H17" s="63"/>
      <c r="I17" s="7"/>
      <c r="J17" s="7"/>
      <c r="K17" s="7"/>
      <c r="L17" s="7"/>
      <c r="M17" s="7"/>
      <c r="N17" s="7"/>
    </row>
    <row r="18" spans="2:14" ht="17.25" customHeight="1">
      <c r="D18" s="20" t="s">
        <v>469</v>
      </c>
      <c r="E18" s="62">
        <f>+E475</f>
        <v>0</v>
      </c>
      <c r="F18" s="7"/>
      <c r="G18" s="63"/>
      <c r="H18" s="7"/>
      <c r="I18" s="7"/>
      <c r="J18" s="7"/>
      <c r="K18" s="7"/>
      <c r="L18" s="7"/>
      <c r="M18" s="7"/>
      <c r="N18" s="7"/>
    </row>
    <row r="19" spans="2:14" ht="17.25" customHeight="1">
      <c r="D19" s="20" t="s">
        <v>470</v>
      </c>
      <c r="E19" s="64">
        <f>+E425</f>
        <v>0</v>
      </c>
      <c r="F19" s="7"/>
      <c r="G19" s="7"/>
      <c r="H19" s="7"/>
      <c r="I19" s="7"/>
      <c r="J19" s="7"/>
      <c r="K19" s="7"/>
      <c r="L19" s="7"/>
      <c r="M19" s="7"/>
      <c r="N19" s="7"/>
    </row>
    <row r="20" spans="2:14" ht="17.25" customHeight="1">
      <c r="D20" s="20" t="s">
        <v>471</v>
      </c>
      <c r="E20" s="65"/>
      <c r="F20" s="7"/>
      <c r="G20" s="7"/>
      <c r="H20" s="7"/>
      <c r="I20" s="7"/>
      <c r="J20" s="7"/>
      <c r="K20" s="7"/>
      <c r="L20" s="7"/>
      <c r="M20" s="7"/>
      <c r="N20" s="7"/>
    </row>
    <row r="21" spans="2:14" ht="17.25" customHeight="1">
      <c r="D21" s="20" t="s">
        <v>472</v>
      </c>
      <c r="E21" s="66">
        <f>+E73</f>
        <v>234567</v>
      </c>
      <c r="F21" s="7"/>
      <c r="G21" s="7"/>
      <c r="H21" s="7"/>
      <c r="I21" s="7"/>
      <c r="J21" s="7"/>
      <c r="K21" s="7"/>
      <c r="L21" s="7"/>
      <c r="M21" s="7"/>
      <c r="N21" s="7"/>
    </row>
    <row r="22" spans="2:14" ht="17.25" customHeight="1">
      <c r="D22" s="20" t="s">
        <v>462</v>
      </c>
      <c r="E22" s="51">
        <f>+E78</f>
        <v>0</v>
      </c>
      <c r="F22" s="7"/>
      <c r="G22" s="7"/>
      <c r="H22" s="7"/>
      <c r="I22" s="7"/>
      <c r="J22" s="7"/>
      <c r="K22" s="7"/>
      <c r="L22" s="7"/>
      <c r="M22" s="7"/>
      <c r="N22" s="7"/>
    </row>
    <row r="23" spans="2:14" ht="17.25" customHeight="1">
      <c r="D23" s="20" t="s">
        <v>473</v>
      </c>
      <c r="E23" s="51">
        <f>+E81</f>
        <v>0</v>
      </c>
      <c r="F23" s="7"/>
      <c r="G23" s="7"/>
      <c r="H23" s="7"/>
      <c r="I23" s="7"/>
      <c r="J23" s="7"/>
      <c r="K23" s="7"/>
      <c r="L23" s="7"/>
      <c r="M23" s="7"/>
      <c r="N23" s="7"/>
    </row>
    <row r="24" spans="2:14" ht="17.25" customHeight="1">
      <c r="D24" s="20" t="s">
        <v>474</v>
      </c>
      <c r="E24" s="66">
        <f>+F123</f>
        <v>3456</v>
      </c>
      <c r="F24" s="7"/>
      <c r="G24" s="7"/>
      <c r="H24" s="7"/>
      <c r="I24" s="7"/>
      <c r="J24" s="7"/>
      <c r="K24" s="7"/>
      <c r="L24" s="7"/>
      <c r="M24" s="7"/>
      <c r="N24" s="7"/>
    </row>
    <row r="25" spans="2:14" ht="17.25" customHeight="1">
      <c r="D25" s="20" t="s">
        <v>475</v>
      </c>
      <c r="E25" s="51">
        <f>+E55</f>
        <v>0</v>
      </c>
      <c r="F25" s="7"/>
      <c r="G25" s="7"/>
      <c r="H25" s="7"/>
      <c r="I25" s="7"/>
      <c r="J25" s="7"/>
      <c r="K25" s="7"/>
      <c r="L25" s="7"/>
      <c r="M25" s="7"/>
      <c r="N25" s="7"/>
    </row>
    <row r="26" spans="2:14" ht="17.25" customHeight="1">
      <c r="B26" s="56"/>
      <c r="C26" s="56"/>
      <c r="D26" s="20" t="s">
        <v>476</v>
      </c>
      <c r="E26" s="257">
        <f>E93</f>
        <v>0</v>
      </c>
      <c r="F26" s="7"/>
      <c r="G26" s="7"/>
      <c r="H26" s="7"/>
      <c r="I26" s="7"/>
      <c r="J26" s="7"/>
      <c r="K26" s="7"/>
      <c r="L26" s="7"/>
      <c r="M26" s="7"/>
      <c r="N26" s="7"/>
    </row>
    <row r="27" spans="2:14" ht="17.25" customHeight="1" thickBot="1">
      <c r="D27" s="22" t="s">
        <v>477</v>
      </c>
      <c r="E27" s="67"/>
      <c r="F27" s="7"/>
      <c r="G27" s="7"/>
      <c r="H27" s="7"/>
      <c r="I27" s="7"/>
      <c r="J27" s="7"/>
      <c r="K27" s="7"/>
      <c r="L27" s="7"/>
      <c r="M27" s="7"/>
      <c r="N27" s="7"/>
    </row>
    <row r="28" spans="2:14">
      <c r="D28" s="7"/>
      <c r="E28" s="7"/>
      <c r="F28" s="7"/>
      <c r="G28" s="7"/>
      <c r="H28" s="7"/>
      <c r="I28" s="7"/>
      <c r="J28" s="7"/>
      <c r="K28" s="7"/>
      <c r="L28" s="7"/>
      <c r="M28" s="7"/>
      <c r="N28" s="7"/>
    </row>
    <row r="29" spans="2:14" ht="16" thickBot="1">
      <c r="D29" s="10"/>
      <c r="E29" s="7"/>
      <c r="F29" s="7"/>
      <c r="G29" s="7"/>
      <c r="H29" s="7"/>
      <c r="I29" s="7"/>
      <c r="J29" s="7"/>
      <c r="K29" s="7"/>
      <c r="L29" s="7"/>
      <c r="M29" s="7"/>
      <c r="N29" s="7"/>
    </row>
    <row r="30" spans="2:14" ht="25.5" thickBot="1">
      <c r="D30" s="306" t="s">
        <v>4</v>
      </c>
      <c r="E30" s="307" t="s">
        <v>1</v>
      </c>
      <c r="F30" s="7"/>
      <c r="G30" s="7"/>
      <c r="H30" s="7"/>
      <c r="I30" s="7"/>
      <c r="J30" s="7"/>
      <c r="K30" s="68"/>
      <c r="L30" s="7"/>
      <c r="M30" s="7"/>
      <c r="N30" s="7"/>
    </row>
    <row r="31" spans="2:14" ht="20">
      <c r="D31" s="309" t="s">
        <v>6</v>
      </c>
      <c r="E31" s="310" t="s">
        <v>1</v>
      </c>
      <c r="F31" s="69" t="s">
        <v>5</v>
      </c>
      <c r="G31" s="69"/>
      <c r="H31" s="2"/>
      <c r="I31" s="7"/>
      <c r="J31" s="7"/>
      <c r="K31" s="17"/>
    </row>
    <row r="32" spans="2:14">
      <c r="D32" s="23" t="s">
        <v>9</v>
      </c>
      <c r="E32" s="70">
        <f>+M233</f>
        <v>98765</v>
      </c>
      <c r="F32" s="69" t="s">
        <v>7</v>
      </c>
      <c r="G32" s="69" t="s">
        <v>8</v>
      </c>
      <c r="I32" s="7"/>
      <c r="J32" s="7"/>
      <c r="K32" s="68"/>
    </row>
    <row r="33" spans="4:11">
      <c r="D33" s="24" t="s">
        <v>478</v>
      </c>
      <c r="E33" s="70">
        <f>+E68</f>
        <v>333332</v>
      </c>
      <c r="F33" s="69" t="s">
        <v>10</v>
      </c>
      <c r="G33" s="69" t="s">
        <v>11</v>
      </c>
      <c r="H33" s="71"/>
      <c r="I33" s="7"/>
      <c r="J33" s="7"/>
      <c r="K33" s="32"/>
    </row>
    <row r="34" spans="4:11">
      <c r="D34" s="24" t="s">
        <v>479</v>
      </c>
      <c r="E34" s="70">
        <f>+E42</f>
        <v>234567</v>
      </c>
      <c r="F34" s="69" t="s">
        <v>12</v>
      </c>
      <c r="G34" s="69" t="s">
        <v>13</v>
      </c>
      <c r="I34" s="7"/>
      <c r="J34" s="7"/>
      <c r="K34" s="68"/>
    </row>
    <row r="35" spans="4:11">
      <c r="D35" s="24" t="s">
        <v>480</v>
      </c>
      <c r="E35" s="70">
        <f>+M311</f>
        <v>234567</v>
      </c>
      <c r="F35" s="69" t="s">
        <v>14</v>
      </c>
      <c r="G35" s="69" t="s">
        <v>15</v>
      </c>
      <c r="H35" s="71"/>
      <c r="I35" s="7"/>
      <c r="J35" s="7"/>
      <c r="K35" s="7"/>
    </row>
    <row r="36" spans="4:11" ht="16" thickBot="1">
      <c r="D36" s="25" t="s">
        <v>481</v>
      </c>
      <c r="E36" s="72">
        <f>+E35/E33</f>
        <v>0.70370381481525923</v>
      </c>
      <c r="F36" s="69" t="s">
        <v>16</v>
      </c>
      <c r="G36" s="69" t="s">
        <v>17</v>
      </c>
      <c r="I36" s="7"/>
      <c r="J36" s="7"/>
      <c r="K36" s="68"/>
    </row>
    <row r="37" spans="4:11">
      <c r="D37" s="56"/>
      <c r="E37" s="56"/>
      <c r="F37" s="7"/>
      <c r="G37" s="56"/>
      <c r="I37" s="7"/>
      <c r="J37" s="7"/>
      <c r="K37" s="7"/>
    </row>
    <row r="38" spans="4:11" ht="16" thickBot="1">
      <c r="D38" s="56"/>
      <c r="E38" s="56"/>
      <c r="G38" s="56"/>
      <c r="I38" s="7"/>
      <c r="J38" s="7"/>
      <c r="K38" s="7"/>
    </row>
    <row r="39" spans="4:11" ht="16" thickBot="1">
      <c r="D39" s="311" t="s">
        <v>18</v>
      </c>
      <c r="E39" s="312"/>
      <c r="F39" s="33"/>
      <c r="G39" s="56"/>
      <c r="I39" s="7"/>
      <c r="J39" s="7"/>
      <c r="K39" s="7"/>
    </row>
    <row r="40" spans="4:11">
      <c r="D40" s="26" t="s">
        <v>20</v>
      </c>
      <c r="E40" s="29">
        <f>+M233</f>
        <v>98765</v>
      </c>
      <c r="F40" s="69" t="s">
        <v>19</v>
      </c>
      <c r="G40" s="69"/>
      <c r="K40" s="73"/>
    </row>
    <row r="41" spans="4:11">
      <c r="D41" s="27" t="s">
        <v>22</v>
      </c>
      <c r="E41" s="74" t="s">
        <v>140</v>
      </c>
      <c r="F41" s="69" t="s">
        <v>21</v>
      </c>
      <c r="G41" s="69"/>
      <c r="H41" s="56"/>
      <c r="I41" s="56"/>
      <c r="J41" s="56"/>
      <c r="K41" s="32"/>
    </row>
    <row r="42" spans="4:11">
      <c r="D42" s="27" t="s">
        <v>484</v>
      </c>
      <c r="E42" s="30">
        <f>+M235</f>
        <v>234567</v>
      </c>
      <c r="F42" s="69" t="s">
        <v>23</v>
      </c>
      <c r="G42" s="69" t="s">
        <v>512</v>
      </c>
    </row>
    <row r="43" spans="4:11">
      <c r="D43" s="27" t="s">
        <v>485</v>
      </c>
      <c r="E43" s="30">
        <f t="shared" ref="E43:E67" si="0">+M236</f>
        <v>0</v>
      </c>
      <c r="F43" s="69" t="s">
        <v>24</v>
      </c>
      <c r="G43" s="69" t="s">
        <v>510</v>
      </c>
      <c r="H43" s="71"/>
    </row>
    <row r="44" spans="4:11">
      <c r="D44" s="27" t="s">
        <v>486</v>
      </c>
      <c r="E44" s="30">
        <f t="shared" si="0"/>
        <v>0</v>
      </c>
      <c r="F44" s="69" t="s">
        <v>25</v>
      </c>
      <c r="G44" s="69" t="s">
        <v>511</v>
      </c>
      <c r="H44" s="71"/>
    </row>
    <row r="45" spans="4:11">
      <c r="D45" s="27" t="s">
        <v>487</v>
      </c>
      <c r="E45" s="30">
        <f t="shared" si="0"/>
        <v>0</v>
      </c>
      <c r="F45" s="69" t="s">
        <v>26</v>
      </c>
      <c r="G45" s="69" t="s">
        <v>513</v>
      </c>
    </row>
    <row r="46" spans="4:11">
      <c r="D46" s="27" t="s">
        <v>488</v>
      </c>
      <c r="E46" s="30">
        <f t="shared" si="0"/>
        <v>0</v>
      </c>
      <c r="F46" s="69" t="s">
        <v>27</v>
      </c>
      <c r="G46" s="69" t="s">
        <v>514</v>
      </c>
    </row>
    <row r="47" spans="4:11">
      <c r="D47" s="27" t="s">
        <v>489</v>
      </c>
      <c r="E47" s="30">
        <f t="shared" si="0"/>
        <v>0</v>
      </c>
      <c r="F47" s="69" t="s">
        <v>28</v>
      </c>
      <c r="G47" s="69" t="s">
        <v>515</v>
      </c>
    </row>
    <row r="48" spans="4:11">
      <c r="D48" s="27" t="s">
        <v>490</v>
      </c>
      <c r="E48" s="30">
        <f t="shared" si="0"/>
        <v>0</v>
      </c>
      <c r="F48" s="69" t="s">
        <v>29</v>
      </c>
      <c r="G48" s="69" t="s">
        <v>516</v>
      </c>
      <c r="H48" s="71"/>
    </row>
    <row r="49" spans="4:8">
      <c r="D49" s="27" t="s">
        <v>491</v>
      </c>
      <c r="E49" s="30">
        <f t="shared" si="0"/>
        <v>0</v>
      </c>
      <c r="F49" s="69" t="s">
        <v>30</v>
      </c>
      <c r="G49" s="69" t="s">
        <v>517</v>
      </c>
      <c r="H49" s="71"/>
    </row>
    <row r="50" spans="4:8">
      <c r="D50" s="27" t="s">
        <v>492</v>
      </c>
      <c r="E50" s="30">
        <f t="shared" si="0"/>
        <v>0</v>
      </c>
      <c r="F50" s="69" t="s">
        <v>31</v>
      </c>
      <c r="G50" s="69" t="s">
        <v>518</v>
      </c>
    </row>
    <row r="51" spans="4:8">
      <c r="D51" s="27" t="s">
        <v>493</v>
      </c>
      <c r="E51" s="30">
        <f t="shared" si="0"/>
        <v>0</v>
      </c>
      <c r="F51" s="69" t="s">
        <v>32</v>
      </c>
      <c r="G51" s="69" t="s">
        <v>519</v>
      </c>
    </row>
    <row r="52" spans="4:8">
      <c r="D52" s="27" t="s">
        <v>494</v>
      </c>
      <c r="E52" s="30">
        <f t="shared" si="0"/>
        <v>0</v>
      </c>
      <c r="F52" s="69" t="s">
        <v>33</v>
      </c>
      <c r="G52" s="69" t="s">
        <v>520</v>
      </c>
    </row>
    <row r="53" spans="4:8">
      <c r="D53" s="27" t="s">
        <v>496</v>
      </c>
      <c r="E53" s="30">
        <f t="shared" si="0"/>
        <v>0</v>
      </c>
      <c r="F53" s="69" t="s">
        <v>34</v>
      </c>
      <c r="G53" s="69" t="s">
        <v>521</v>
      </c>
      <c r="H53" s="71"/>
    </row>
    <row r="54" spans="4:8">
      <c r="D54" s="27" t="s">
        <v>495</v>
      </c>
      <c r="E54" s="30">
        <f t="shared" si="0"/>
        <v>0</v>
      </c>
      <c r="F54" s="69" t="s">
        <v>35</v>
      </c>
      <c r="G54" s="69" t="s">
        <v>522</v>
      </c>
      <c r="H54" s="71"/>
    </row>
    <row r="55" spans="4:8">
      <c r="D55" s="27" t="s">
        <v>497</v>
      </c>
      <c r="E55" s="30">
        <f t="shared" si="0"/>
        <v>0</v>
      </c>
      <c r="F55" s="69" t="s">
        <v>36</v>
      </c>
      <c r="G55" s="69" t="s">
        <v>523</v>
      </c>
    </row>
    <row r="56" spans="4:8">
      <c r="D56" s="27" t="s">
        <v>498</v>
      </c>
      <c r="E56" s="30">
        <f t="shared" si="0"/>
        <v>0</v>
      </c>
      <c r="F56" s="69" t="s">
        <v>37</v>
      </c>
      <c r="G56" s="69" t="s">
        <v>524</v>
      </c>
    </row>
    <row r="57" spans="4:8">
      <c r="D57" s="27" t="s">
        <v>499</v>
      </c>
      <c r="E57" s="30">
        <f t="shared" si="0"/>
        <v>0</v>
      </c>
      <c r="F57" s="69" t="s">
        <v>38</v>
      </c>
      <c r="G57" s="69" t="s">
        <v>525</v>
      </c>
    </row>
    <row r="58" spans="4:8">
      <c r="D58" s="27" t="s">
        <v>500</v>
      </c>
      <c r="E58" s="30">
        <f t="shared" si="0"/>
        <v>0</v>
      </c>
      <c r="F58" s="69" t="s">
        <v>39</v>
      </c>
      <c r="G58" s="69" t="s">
        <v>526</v>
      </c>
    </row>
    <row r="59" spans="4:8">
      <c r="D59" s="27" t="s">
        <v>501</v>
      </c>
      <c r="E59" s="30">
        <f t="shared" si="0"/>
        <v>0</v>
      </c>
      <c r="F59" s="69" t="s">
        <v>40</v>
      </c>
      <c r="G59" s="69" t="s">
        <v>527</v>
      </c>
    </row>
    <row r="60" spans="4:8">
      <c r="D60" s="27" t="s">
        <v>502</v>
      </c>
      <c r="E60" s="30">
        <f t="shared" si="0"/>
        <v>0</v>
      </c>
      <c r="F60" s="69" t="s">
        <v>41</v>
      </c>
      <c r="G60" s="69" t="s">
        <v>528</v>
      </c>
    </row>
    <row r="61" spans="4:8" ht="31">
      <c r="D61" s="27" t="s">
        <v>503</v>
      </c>
      <c r="E61" s="30">
        <f t="shared" si="0"/>
        <v>0</v>
      </c>
      <c r="F61" s="69" t="s">
        <v>42</v>
      </c>
      <c r="G61" s="69" t="s">
        <v>529</v>
      </c>
    </row>
    <row r="62" spans="4:8">
      <c r="D62" s="27" t="s">
        <v>504</v>
      </c>
      <c r="E62" s="30">
        <f t="shared" si="0"/>
        <v>0</v>
      </c>
      <c r="F62" s="69" t="s">
        <v>43</v>
      </c>
      <c r="G62" s="69" t="s">
        <v>530</v>
      </c>
    </row>
    <row r="63" spans="4:8">
      <c r="D63" s="27" t="s">
        <v>505</v>
      </c>
      <c r="E63" s="30">
        <f t="shared" si="0"/>
        <v>0</v>
      </c>
      <c r="F63" s="69" t="s">
        <v>44</v>
      </c>
      <c r="G63" s="69" t="s">
        <v>531</v>
      </c>
    </row>
    <row r="64" spans="4:8">
      <c r="D64" s="27" t="s">
        <v>506</v>
      </c>
      <c r="E64" s="30">
        <f t="shared" si="0"/>
        <v>0</v>
      </c>
      <c r="F64" s="69" t="s">
        <v>45</v>
      </c>
      <c r="G64" s="69" t="s">
        <v>532</v>
      </c>
    </row>
    <row r="65" spans="4:18">
      <c r="D65" s="27" t="s">
        <v>507</v>
      </c>
      <c r="E65" s="30">
        <f t="shared" si="0"/>
        <v>0</v>
      </c>
      <c r="F65" s="69" t="s">
        <v>46</v>
      </c>
      <c r="G65" s="69" t="s">
        <v>533</v>
      </c>
    </row>
    <row r="66" spans="4:18">
      <c r="D66" s="27" t="s">
        <v>508</v>
      </c>
      <c r="E66" s="30">
        <f t="shared" si="0"/>
        <v>0</v>
      </c>
      <c r="F66" s="69" t="s">
        <v>47</v>
      </c>
      <c r="G66" s="69" t="s">
        <v>534</v>
      </c>
    </row>
    <row r="67" spans="4:18">
      <c r="D67" s="27" t="s">
        <v>509</v>
      </c>
      <c r="E67" s="30">
        <f t="shared" si="0"/>
        <v>0</v>
      </c>
      <c r="F67" s="69" t="s">
        <v>48</v>
      </c>
      <c r="G67" s="69" t="s">
        <v>535</v>
      </c>
      <c r="H67" s="71"/>
    </row>
    <row r="68" spans="4:18" ht="16" thickBot="1">
      <c r="D68" s="31" t="s">
        <v>50</v>
      </c>
      <c r="E68" s="75">
        <f>+M261</f>
        <v>333332</v>
      </c>
      <c r="F68" s="69" t="s">
        <v>10</v>
      </c>
      <c r="G68" s="69" t="s">
        <v>49</v>
      </c>
    </row>
    <row r="69" spans="4:18" ht="15.75" customHeight="1">
      <c r="G69" s="56"/>
    </row>
    <row r="70" spans="4:18" ht="15" customHeight="1" thickBot="1">
      <c r="G70" s="56"/>
    </row>
    <row r="71" spans="4:18" ht="14.25" customHeight="1" thickBot="1">
      <c r="D71" s="311" t="s">
        <v>51</v>
      </c>
      <c r="E71" s="312"/>
      <c r="G71" s="56"/>
    </row>
    <row r="72" spans="4:18">
      <c r="D72" s="311" t="s">
        <v>52</v>
      </c>
      <c r="E72" s="312"/>
      <c r="F72" s="69"/>
      <c r="G72" s="69"/>
      <c r="H72" s="69"/>
    </row>
    <row r="73" spans="4:18">
      <c r="D73" s="37" t="s">
        <v>55</v>
      </c>
      <c r="E73" s="38">
        <f>+M292</f>
        <v>234567</v>
      </c>
      <c r="F73" s="69" t="s">
        <v>53</v>
      </c>
      <c r="G73" s="69" t="s">
        <v>54</v>
      </c>
      <c r="H73" s="69"/>
      <c r="I73" s="7"/>
      <c r="K73" s="32"/>
    </row>
    <row r="74" spans="4:18">
      <c r="D74" s="37" t="s">
        <v>22</v>
      </c>
      <c r="E74" s="76" t="s">
        <v>140</v>
      </c>
      <c r="F74" s="69" t="s">
        <v>21</v>
      </c>
      <c r="G74" s="69"/>
      <c r="H74" s="69"/>
      <c r="I74" s="7"/>
      <c r="K74" s="32"/>
    </row>
    <row r="75" spans="4:18">
      <c r="D75" s="20" t="s">
        <v>539</v>
      </c>
      <c r="E75" s="30">
        <f>+M294</f>
        <v>0</v>
      </c>
      <c r="F75" s="69" t="s">
        <v>57</v>
      </c>
      <c r="G75" s="69" t="s">
        <v>56</v>
      </c>
      <c r="H75" s="69" t="s">
        <v>557</v>
      </c>
      <c r="I75" s="7"/>
    </row>
    <row r="76" spans="4:18" ht="69.5" customHeight="1">
      <c r="D76" s="20" t="s">
        <v>540</v>
      </c>
      <c r="E76" s="40">
        <v>0</v>
      </c>
      <c r="F76" s="69"/>
      <c r="G76" s="69" t="s">
        <v>58</v>
      </c>
      <c r="H76" s="69" t="s">
        <v>558</v>
      </c>
      <c r="I76" s="292" t="s">
        <v>59</v>
      </c>
      <c r="J76" s="292"/>
      <c r="K76" s="292"/>
      <c r="L76" s="292"/>
      <c r="M76" s="292"/>
      <c r="N76" s="292"/>
      <c r="O76" s="292"/>
      <c r="P76" s="292"/>
      <c r="Q76" s="292"/>
      <c r="R76" s="292"/>
    </row>
    <row r="77" spans="4:18">
      <c r="D77" s="20" t="s">
        <v>541</v>
      </c>
      <c r="E77" s="30">
        <f>+M295</f>
        <v>0</v>
      </c>
      <c r="F77" s="69" t="s">
        <v>61</v>
      </c>
      <c r="G77" s="69" t="s">
        <v>60</v>
      </c>
      <c r="H77" s="69" t="s">
        <v>559</v>
      </c>
    </row>
    <row r="78" spans="4:18" ht="31">
      <c r="D78" s="20" t="s">
        <v>542</v>
      </c>
      <c r="E78" s="30">
        <f t="shared" ref="E78:E91" si="1">+M296</f>
        <v>0</v>
      </c>
      <c r="F78" s="69" t="s">
        <v>63</v>
      </c>
      <c r="G78" s="69" t="s">
        <v>62</v>
      </c>
      <c r="H78" s="69" t="s">
        <v>64</v>
      </c>
      <c r="I78" s="7"/>
    </row>
    <row r="79" spans="4:18">
      <c r="D79" s="20" t="s">
        <v>572</v>
      </c>
      <c r="E79" s="30">
        <f t="shared" si="1"/>
        <v>0</v>
      </c>
      <c r="F79" s="69" t="s">
        <v>66</v>
      </c>
      <c r="G79" s="69" t="s">
        <v>65</v>
      </c>
      <c r="H79" s="69" t="s">
        <v>560</v>
      </c>
      <c r="I79" s="7"/>
    </row>
    <row r="80" spans="4:18">
      <c r="D80" s="20" t="s">
        <v>543</v>
      </c>
      <c r="E80" s="30">
        <f t="shared" si="1"/>
        <v>0</v>
      </c>
      <c r="F80" s="69" t="s">
        <v>68</v>
      </c>
      <c r="G80" s="69" t="s">
        <v>67</v>
      </c>
      <c r="H80" s="69" t="s">
        <v>561</v>
      </c>
      <c r="I80" s="7"/>
    </row>
    <row r="81" spans="4:13" ht="31">
      <c r="D81" s="20" t="s">
        <v>545</v>
      </c>
      <c r="E81" s="30">
        <f t="shared" si="1"/>
        <v>0</v>
      </c>
      <c r="F81" s="69" t="s">
        <v>70</v>
      </c>
      <c r="G81" s="69" t="s">
        <v>69</v>
      </c>
      <c r="H81" s="69" t="s">
        <v>71</v>
      </c>
      <c r="I81" s="7"/>
    </row>
    <row r="82" spans="4:13" ht="31">
      <c r="D82" s="20" t="s">
        <v>546</v>
      </c>
      <c r="E82" s="30">
        <f t="shared" si="1"/>
        <v>0</v>
      </c>
      <c r="F82" s="69" t="s">
        <v>73</v>
      </c>
      <c r="G82" s="69" t="s">
        <v>72</v>
      </c>
      <c r="H82" s="69" t="s">
        <v>74</v>
      </c>
      <c r="I82" s="7"/>
    </row>
    <row r="83" spans="4:13">
      <c r="D83" s="20" t="s">
        <v>544</v>
      </c>
      <c r="E83" s="30">
        <f t="shared" si="1"/>
        <v>0</v>
      </c>
      <c r="F83" s="69" t="s">
        <v>76</v>
      </c>
      <c r="G83" s="69" t="s">
        <v>75</v>
      </c>
      <c r="H83" s="69" t="s">
        <v>562</v>
      </c>
      <c r="I83" s="7"/>
    </row>
    <row r="84" spans="4:13">
      <c r="D84" s="20" t="s">
        <v>547</v>
      </c>
      <c r="E84" s="30">
        <f t="shared" si="1"/>
        <v>0</v>
      </c>
      <c r="F84" s="69" t="s">
        <v>78</v>
      </c>
      <c r="G84" s="69" t="s">
        <v>77</v>
      </c>
      <c r="H84" s="69" t="s">
        <v>563</v>
      </c>
      <c r="I84" s="7"/>
    </row>
    <row r="85" spans="4:13">
      <c r="D85" s="20" t="s">
        <v>548</v>
      </c>
      <c r="E85" s="30">
        <f t="shared" si="1"/>
        <v>0</v>
      </c>
      <c r="F85" s="69" t="s">
        <v>80</v>
      </c>
      <c r="G85" s="69" t="s">
        <v>79</v>
      </c>
      <c r="H85" s="69" t="s">
        <v>564</v>
      </c>
      <c r="I85" s="7"/>
    </row>
    <row r="86" spans="4:13">
      <c r="D86" s="20" t="s">
        <v>550</v>
      </c>
      <c r="E86" s="30">
        <f t="shared" si="1"/>
        <v>0</v>
      </c>
      <c r="F86" s="69" t="s">
        <v>82</v>
      </c>
      <c r="G86" s="69" t="s">
        <v>81</v>
      </c>
      <c r="H86" s="69" t="s">
        <v>565</v>
      </c>
      <c r="I86" s="7"/>
    </row>
    <row r="87" spans="4:13">
      <c r="D87" s="20" t="s">
        <v>551</v>
      </c>
      <c r="E87" s="30">
        <f t="shared" si="1"/>
        <v>0</v>
      </c>
      <c r="F87" s="69" t="s">
        <v>84</v>
      </c>
      <c r="G87" s="69" t="s">
        <v>83</v>
      </c>
      <c r="H87" s="69" t="s">
        <v>566</v>
      </c>
      <c r="I87" s="7"/>
    </row>
    <row r="88" spans="4:13">
      <c r="D88" s="20" t="s">
        <v>549</v>
      </c>
      <c r="E88" s="30">
        <f t="shared" si="1"/>
        <v>0</v>
      </c>
      <c r="F88" s="69" t="s">
        <v>86</v>
      </c>
      <c r="G88" s="69" t="s">
        <v>85</v>
      </c>
      <c r="H88" s="69" t="s">
        <v>567</v>
      </c>
      <c r="I88" s="7"/>
    </row>
    <row r="89" spans="4:13">
      <c r="D89" s="20" t="s">
        <v>573</v>
      </c>
      <c r="E89" s="30">
        <f t="shared" si="1"/>
        <v>0</v>
      </c>
      <c r="F89" s="69" t="s">
        <v>88</v>
      </c>
      <c r="G89" s="69" t="s">
        <v>87</v>
      </c>
      <c r="H89" s="69" t="s">
        <v>568</v>
      </c>
      <c r="I89" s="7"/>
    </row>
    <row r="90" spans="4:13">
      <c r="D90" s="20" t="s">
        <v>552</v>
      </c>
      <c r="E90" s="30">
        <f t="shared" si="1"/>
        <v>0</v>
      </c>
      <c r="F90" s="69" t="s">
        <v>90</v>
      </c>
      <c r="G90" s="69" t="s">
        <v>89</v>
      </c>
      <c r="H90" s="69" t="s">
        <v>569</v>
      </c>
      <c r="I90" s="7"/>
    </row>
    <row r="91" spans="4:13">
      <c r="D91" s="20" t="s">
        <v>553</v>
      </c>
      <c r="E91" s="30">
        <f t="shared" si="1"/>
        <v>0</v>
      </c>
      <c r="F91" s="69" t="s">
        <v>92</v>
      </c>
      <c r="G91" s="69" t="s">
        <v>91</v>
      </c>
      <c r="H91" s="69" t="s">
        <v>570</v>
      </c>
      <c r="I91" s="7"/>
    </row>
    <row r="92" spans="4:13" ht="31">
      <c r="D92" s="20" t="s">
        <v>554</v>
      </c>
      <c r="E92" s="30">
        <f>+M310</f>
        <v>0</v>
      </c>
      <c r="F92" s="69" t="s">
        <v>91</v>
      </c>
      <c r="G92" s="69" t="s">
        <v>93</v>
      </c>
      <c r="H92" s="69" t="s">
        <v>571</v>
      </c>
      <c r="I92" s="7"/>
    </row>
    <row r="93" spans="4:13">
      <c r="D93" s="20" t="s">
        <v>555</v>
      </c>
      <c r="E93" s="30">
        <f>+E102</f>
        <v>0</v>
      </c>
      <c r="F93" s="69" t="s">
        <v>95</v>
      </c>
      <c r="G93" s="69" t="s">
        <v>94</v>
      </c>
      <c r="H93" s="69" t="s">
        <v>96</v>
      </c>
      <c r="I93" s="7"/>
    </row>
    <row r="94" spans="4:13" ht="31">
      <c r="D94" s="20" t="s">
        <v>556</v>
      </c>
      <c r="E94" s="30">
        <f>+E101</f>
        <v>0</v>
      </c>
      <c r="F94" s="69" t="s">
        <v>98</v>
      </c>
      <c r="G94" s="69" t="s">
        <v>97</v>
      </c>
      <c r="H94" s="69" t="s">
        <v>99</v>
      </c>
      <c r="I94" s="7"/>
    </row>
    <row r="95" spans="4:13" ht="16" thickBot="1">
      <c r="D95" s="39" t="s">
        <v>100</v>
      </c>
      <c r="E95" s="77">
        <f>E73+SUM(E75:E94)</f>
        <v>234567</v>
      </c>
      <c r="F95" s="69"/>
      <c r="G95" s="69" t="s">
        <v>14</v>
      </c>
      <c r="H95" s="69"/>
      <c r="I95" s="7"/>
      <c r="K95" s="78"/>
      <c r="L95" s="68"/>
      <c r="M95" s="32"/>
    </row>
    <row r="96" spans="4:13">
      <c r="D96" s="15"/>
      <c r="E96" s="79"/>
      <c r="F96" s="7"/>
      <c r="G96" s="56"/>
      <c r="H96" s="7"/>
      <c r="I96" s="7"/>
    </row>
    <row r="97" spans="4:11" ht="16" thickBot="1">
      <c r="D97" s="15"/>
      <c r="E97" s="79"/>
      <c r="F97" s="7"/>
      <c r="G97" s="56"/>
      <c r="H97" s="7"/>
      <c r="I97" s="7"/>
    </row>
    <row r="98" spans="4:11">
      <c r="D98" s="311" t="s">
        <v>574</v>
      </c>
      <c r="E98" s="312" t="s">
        <v>102</v>
      </c>
      <c r="F98" s="69" t="s">
        <v>101</v>
      </c>
      <c r="G98" s="69"/>
      <c r="H98" s="355" t="s">
        <v>103</v>
      </c>
      <c r="I98" s="355"/>
      <c r="J98" s="355"/>
      <c r="K98" s="355"/>
    </row>
    <row r="99" spans="4:11" ht="24.75" customHeight="1">
      <c r="D99" s="43" t="s">
        <v>575</v>
      </c>
      <c r="E99" s="41">
        <v>0</v>
      </c>
      <c r="F99" s="69" t="s">
        <v>104</v>
      </c>
      <c r="G99" s="69" t="s">
        <v>105</v>
      </c>
      <c r="H99" s="355"/>
      <c r="I99" s="355"/>
      <c r="J99" s="355"/>
      <c r="K99" s="355"/>
    </row>
    <row r="100" spans="4:11" ht="27" customHeight="1">
      <c r="D100" s="43" t="s">
        <v>576</v>
      </c>
      <c r="E100" s="41">
        <v>0</v>
      </c>
      <c r="F100" s="69" t="s">
        <v>95</v>
      </c>
      <c r="G100" s="69" t="s">
        <v>106</v>
      </c>
      <c r="H100" s="355"/>
      <c r="I100" s="355"/>
      <c r="J100" s="355"/>
      <c r="K100" s="355"/>
    </row>
    <row r="101" spans="4:11" ht="24.75" customHeight="1">
      <c r="D101" s="43" t="s">
        <v>577</v>
      </c>
      <c r="E101" s="41">
        <v>0</v>
      </c>
      <c r="F101" s="69" t="s">
        <v>98</v>
      </c>
      <c r="G101" s="69" t="s">
        <v>107</v>
      </c>
      <c r="H101" s="355"/>
      <c r="I101" s="355"/>
      <c r="J101" s="355"/>
      <c r="K101" s="355"/>
    </row>
    <row r="102" spans="4:11" ht="19.5" customHeight="1" thickBot="1">
      <c r="D102" s="44" t="s">
        <v>578</v>
      </c>
      <c r="E102" s="124">
        <f>+E99+E100+E101</f>
        <v>0</v>
      </c>
      <c r="F102" s="69" t="s">
        <v>108</v>
      </c>
      <c r="G102" s="69" t="s">
        <v>109</v>
      </c>
      <c r="H102" s="355"/>
      <c r="I102" s="355"/>
      <c r="J102" s="355"/>
      <c r="K102" s="355"/>
    </row>
    <row r="103" spans="4:11" ht="12.75" customHeight="1">
      <c r="D103" s="5"/>
      <c r="E103" s="6"/>
      <c r="F103" s="7"/>
      <c r="G103" s="7"/>
      <c r="H103" s="7"/>
      <c r="I103" s="7"/>
    </row>
    <row r="104" spans="4:11" ht="12.75" customHeight="1" thickBot="1">
      <c r="D104" s="5"/>
      <c r="E104" s="6"/>
      <c r="F104" s="5"/>
      <c r="G104" s="7"/>
      <c r="H104" s="7"/>
      <c r="I104" s="7"/>
    </row>
    <row r="105" spans="4:11">
      <c r="D105" s="320" t="s">
        <v>579</v>
      </c>
      <c r="E105" s="321"/>
      <c r="F105" s="322"/>
      <c r="G105" s="7"/>
      <c r="H105" s="7"/>
      <c r="I105" s="7"/>
    </row>
    <row r="106" spans="4:11" ht="49.5" customHeight="1">
      <c r="D106" s="24" t="s">
        <v>111</v>
      </c>
      <c r="E106" s="1" t="s">
        <v>112</v>
      </c>
      <c r="F106" s="46" t="s">
        <v>113</v>
      </c>
      <c r="G106" s="299" t="s">
        <v>110</v>
      </c>
      <c r="H106" s="7"/>
      <c r="I106" s="7"/>
    </row>
    <row r="107" spans="4:11" ht="12.75" customHeight="1">
      <c r="D107" s="121" t="s">
        <v>646</v>
      </c>
      <c r="E107" s="122" t="s">
        <v>647</v>
      </c>
      <c r="F107" s="123">
        <v>0</v>
      </c>
      <c r="G107" s="299"/>
      <c r="H107" s="7"/>
      <c r="I107" s="7"/>
    </row>
    <row r="108" spans="4:11" ht="12.75" customHeight="1">
      <c r="D108" s="121" t="s">
        <v>646</v>
      </c>
      <c r="E108" s="122" t="s">
        <v>647</v>
      </c>
      <c r="F108" s="123">
        <v>0</v>
      </c>
      <c r="G108" s="299"/>
      <c r="H108" s="7"/>
      <c r="I108" s="7"/>
    </row>
    <row r="109" spans="4:11" ht="12.75" customHeight="1" thickBot="1">
      <c r="D109" s="323" t="s">
        <v>114</v>
      </c>
      <c r="E109" s="324"/>
      <c r="F109" s="47">
        <f>+F107+F108</f>
        <v>0</v>
      </c>
      <c r="G109" s="299"/>
      <c r="H109" s="7"/>
      <c r="I109" s="7"/>
    </row>
    <row r="110" spans="4:11">
      <c r="D110" s="7"/>
      <c r="E110" s="7"/>
      <c r="F110" s="7"/>
      <c r="G110" s="7"/>
      <c r="H110" s="7"/>
      <c r="I110" s="7"/>
    </row>
    <row r="111" spans="4:11" ht="16" thickBot="1">
      <c r="D111" s="7"/>
      <c r="E111" s="7"/>
      <c r="F111" s="7"/>
      <c r="G111" s="7"/>
      <c r="H111" s="7"/>
      <c r="I111" s="7"/>
    </row>
    <row r="112" spans="4:11" ht="20.5" thickBot="1">
      <c r="D112" s="309" t="s">
        <v>115</v>
      </c>
      <c r="E112" s="310" t="s">
        <v>1</v>
      </c>
      <c r="F112" s="2"/>
      <c r="G112" s="2"/>
      <c r="H112" s="16"/>
      <c r="I112" s="7"/>
      <c r="K112" s="17"/>
    </row>
    <row r="113" spans="4:12" ht="16" thickBot="1">
      <c r="D113" s="311" t="s">
        <v>580</v>
      </c>
      <c r="E113" s="312"/>
      <c r="F113" s="33"/>
      <c r="G113" s="33"/>
      <c r="H113" s="7"/>
      <c r="I113" s="7"/>
    </row>
    <row r="114" spans="4:12" ht="16" thickBot="1">
      <c r="D114" s="296" t="s">
        <v>116</v>
      </c>
      <c r="E114" s="297"/>
      <c r="F114" s="298"/>
      <c r="G114" s="2"/>
      <c r="H114" s="7"/>
      <c r="I114" s="7"/>
    </row>
    <row r="115" spans="4:12">
      <c r="D115" s="49" t="s">
        <v>582</v>
      </c>
      <c r="E115" s="356" t="s">
        <v>581</v>
      </c>
      <c r="F115" s="54">
        <f>+M325</f>
        <v>3456</v>
      </c>
      <c r="G115" s="69" t="s">
        <v>117</v>
      </c>
      <c r="H115" s="69" t="s">
        <v>119</v>
      </c>
      <c r="I115" s="7"/>
    </row>
    <row r="116" spans="4:12" ht="31">
      <c r="D116" s="20" t="s">
        <v>583</v>
      </c>
      <c r="E116" s="357"/>
      <c r="F116" s="41">
        <v>0</v>
      </c>
      <c r="G116" s="69" t="s">
        <v>120</v>
      </c>
      <c r="H116" s="69" t="s">
        <v>121</v>
      </c>
      <c r="I116" s="7"/>
    </row>
    <row r="117" spans="4:12">
      <c r="D117" s="20" t="s">
        <v>584</v>
      </c>
      <c r="E117" s="357"/>
      <c r="F117" s="41">
        <v>0</v>
      </c>
      <c r="G117" s="69" t="s">
        <v>122</v>
      </c>
      <c r="H117" s="69" t="s">
        <v>123</v>
      </c>
      <c r="I117" s="7"/>
    </row>
    <row r="118" spans="4:12" ht="16" thickBot="1">
      <c r="D118" s="22" t="s">
        <v>585</v>
      </c>
      <c r="E118" s="358"/>
      <c r="F118" s="53">
        <f>F115-F116+F117</f>
        <v>3456</v>
      </c>
      <c r="G118" s="69" t="s">
        <v>124</v>
      </c>
      <c r="H118" s="69" t="s">
        <v>125</v>
      </c>
      <c r="I118" s="7"/>
    </row>
    <row r="119" spans="4:12" ht="16" thickBot="1">
      <c r="D119" s="313" t="s">
        <v>586</v>
      </c>
      <c r="E119" s="314"/>
      <c r="F119" s="80">
        <f>+E144</f>
        <v>0</v>
      </c>
      <c r="G119" s="69" t="s">
        <v>126</v>
      </c>
      <c r="H119" s="69" t="s">
        <v>127</v>
      </c>
      <c r="I119" s="7"/>
    </row>
    <row r="120" spans="4:12">
      <c r="D120" s="50" t="s">
        <v>587</v>
      </c>
      <c r="E120" s="317" t="s">
        <v>591</v>
      </c>
      <c r="F120" s="54">
        <f>+F119+F118</f>
        <v>3456</v>
      </c>
      <c r="G120" s="69" t="s">
        <v>128</v>
      </c>
      <c r="H120" s="69" t="s">
        <v>129</v>
      </c>
      <c r="I120" s="7"/>
    </row>
    <row r="121" spans="4:12">
      <c r="D121" s="20" t="s">
        <v>588</v>
      </c>
      <c r="E121" s="318"/>
      <c r="F121" s="52">
        <f>+M344</f>
        <v>0</v>
      </c>
      <c r="G121" s="69" t="s">
        <v>130</v>
      </c>
      <c r="H121" s="69" t="s">
        <v>131</v>
      </c>
      <c r="I121" s="7"/>
      <c r="K121" s="34"/>
    </row>
    <row r="122" spans="4:12" ht="31.5" thickBot="1">
      <c r="D122" s="22" t="s">
        <v>589</v>
      </c>
      <c r="E122" s="319"/>
      <c r="F122" s="52">
        <f>+M345</f>
        <v>0</v>
      </c>
      <c r="G122" s="69" t="s">
        <v>132</v>
      </c>
      <c r="H122" s="69" t="s">
        <v>133</v>
      </c>
      <c r="I122" s="7"/>
      <c r="K122" s="34"/>
    </row>
    <row r="123" spans="4:12" ht="16" thickBot="1">
      <c r="D123" s="315" t="s">
        <v>590</v>
      </c>
      <c r="E123" s="316"/>
      <c r="F123" s="81">
        <f>+F120+F121-F122</f>
        <v>3456</v>
      </c>
      <c r="G123" s="69" t="s">
        <v>134</v>
      </c>
      <c r="H123" s="69" t="s">
        <v>135</v>
      </c>
      <c r="I123" s="7"/>
      <c r="K123" s="82"/>
      <c r="L123" s="83"/>
    </row>
    <row r="124" spans="4:12">
      <c r="D124" s="2"/>
      <c r="E124" s="2"/>
      <c r="F124" s="2"/>
      <c r="G124" s="2"/>
      <c r="H124" s="7"/>
      <c r="I124" s="7"/>
      <c r="K124" s="84"/>
      <c r="L124" s="84"/>
    </row>
    <row r="125" spans="4:12" ht="16" thickBot="1">
      <c r="D125" s="2"/>
      <c r="E125" s="2"/>
      <c r="F125" s="2"/>
      <c r="G125" s="2"/>
      <c r="H125" s="7"/>
      <c r="I125" s="7"/>
    </row>
    <row r="126" spans="4:12">
      <c r="D126" s="311" t="s">
        <v>136</v>
      </c>
      <c r="E126" s="312"/>
      <c r="F126" s="2"/>
      <c r="G126" s="2"/>
      <c r="H126" s="56"/>
      <c r="I126" s="56"/>
    </row>
    <row r="127" spans="4:12">
      <c r="D127" s="55" t="s">
        <v>139</v>
      </c>
      <c r="E127" s="76" t="s">
        <v>140</v>
      </c>
      <c r="F127" s="69" t="s">
        <v>137</v>
      </c>
      <c r="G127" s="69" t="s">
        <v>138</v>
      </c>
      <c r="H127" s="56"/>
      <c r="I127" s="56"/>
    </row>
    <row r="128" spans="4:12">
      <c r="D128" s="55" t="s">
        <v>592</v>
      </c>
      <c r="E128" s="28">
        <f>+M327</f>
        <v>0</v>
      </c>
      <c r="F128" s="69" t="s">
        <v>141</v>
      </c>
      <c r="G128" s="69" t="s">
        <v>609</v>
      </c>
      <c r="H128" s="71"/>
    </row>
    <row r="129" spans="4:14">
      <c r="D129" s="55" t="s">
        <v>604</v>
      </c>
      <c r="E129" s="28">
        <f t="shared" ref="E129:E143" si="2">+M328</f>
        <v>0</v>
      </c>
      <c r="F129" s="69" t="s">
        <v>142</v>
      </c>
      <c r="G129" s="69" t="s">
        <v>610</v>
      </c>
      <c r="H129" s="71"/>
      <c r="I129" s="9"/>
    </row>
    <row r="130" spans="4:14">
      <c r="D130" s="55" t="s">
        <v>605</v>
      </c>
      <c r="E130" s="28">
        <f t="shared" si="2"/>
        <v>0</v>
      </c>
      <c r="F130" s="69" t="s">
        <v>143</v>
      </c>
      <c r="G130" s="69" t="s">
        <v>611</v>
      </c>
      <c r="H130" s="71"/>
      <c r="I130" s="85"/>
      <c r="J130" s="85"/>
    </row>
    <row r="131" spans="4:14">
      <c r="D131" s="55" t="s">
        <v>593</v>
      </c>
      <c r="E131" s="28">
        <f t="shared" si="2"/>
        <v>0</v>
      </c>
      <c r="F131" s="69" t="s">
        <v>144</v>
      </c>
      <c r="G131" s="69" t="s">
        <v>612</v>
      </c>
      <c r="H131" s="56"/>
      <c r="I131" s="56"/>
      <c r="J131" s="56"/>
      <c r="K131" s="56"/>
      <c r="L131" s="56"/>
      <c r="M131" s="56"/>
      <c r="N131" s="56"/>
    </row>
    <row r="132" spans="4:14">
      <c r="D132" s="55" t="s">
        <v>594</v>
      </c>
      <c r="E132" s="28">
        <f t="shared" si="2"/>
        <v>0</v>
      </c>
      <c r="F132" s="69" t="s">
        <v>145</v>
      </c>
      <c r="G132" s="69" t="s">
        <v>613</v>
      </c>
      <c r="H132" s="86"/>
      <c r="I132" s="56"/>
      <c r="J132" s="56"/>
      <c r="K132" s="56"/>
      <c r="L132" s="56"/>
      <c r="M132" s="56"/>
      <c r="N132" s="56"/>
    </row>
    <row r="133" spans="4:14">
      <c r="D133" s="55" t="s">
        <v>595</v>
      </c>
      <c r="E133" s="28">
        <f t="shared" si="2"/>
        <v>0</v>
      </c>
      <c r="F133" s="69" t="s">
        <v>146</v>
      </c>
      <c r="G133" s="69" t="s">
        <v>147</v>
      </c>
      <c r="H133" s="56"/>
      <c r="I133" s="56"/>
      <c r="J133" s="56"/>
      <c r="K133" s="56"/>
      <c r="L133" s="56"/>
      <c r="M133" s="56"/>
      <c r="N133" s="56"/>
    </row>
    <row r="134" spans="4:14">
      <c r="D134" s="55" t="s">
        <v>596</v>
      </c>
      <c r="E134" s="28">
        <f t="shared" si="2"/>
        <v>0</v>
      </c>
      <c r="F134" s="69" t="s">
        <v>148</v>
      </c>
      <c r="G134" s="69" t="s">
        <v>149</v>
      </c>
      <c r="H134" s="56"/>
      <c r="I134" s="56"/>
      <c r="J134" s="56"/>
      <c r="K134" s="56"/>
      <c r="L134" s="56"/>
      <c r="M134" s="56"/>
      <c r="N134" s="56"/>
    </row>
    <row r="135" spans="4:14">
      <c r="D135" s="55" t="s">
        <v>597</v>
      </c>
      <c r="E135" s="28">
        <f t="shared" si="2"/>
        <v>0</v>
      </c>
      <c r="F135" s="69" t="s">
        <v>150</v>
      </c>
      <c r="G135" s="69" t="s">
        <v>615</v>
      </c>
      <c r="H135" s="56"/>
      <c r="I135" s="56"/>
      <c r="J135" s="56"/>
      <c r="K135" s="56"/>
      <c r="L135" s="56"/>
      <c r="M135" s="56"/>
      <c r="N135" s="56"/>
    </row>
    <row r="136" spans="4:14">
      <c r="D136" s="55" t="s">
        <v>598</v>
      </c>
      <c r="E136" s="28">
        <f t="shared" si="2"/>
        <v>0</v>
      </c>
      <c r="F136" s="69" t="s">
        <v>151</v>
      </c>
      <c r="G136" s="69" t="s">
        <v>616</v>
      </c>
      <c r="H136" s="87"/>
      <c r="I136" s="56"/>
      <c r="J136" s="56"/>
      <c r="K136" s="56"/>
      <c r="L136" s="7"/>
      <c r="M136" s="7"/>
      <c r="N136" s="7"/>
    </row>
    <row r="137" spans="4:14">
      <c r="D137" s="55" t="s">
        <v>599</v>
      </c>
      <c r="E137" s="28">
        <f t="shared" si="2"/>
        <v>0</v>
      </c>
      <c r="F137" s="69" t="s">
        <v>152</v>
      </c>
      <c r="G137" s="69" t="s">
        <v>617</v>
      </c>
      <c r="H137" s="56"/>
      <c r="I137" s="56"/>
      <c r="J137" s="56"/>
      <c r="K137" s="56"/>
      <c r="L137" s="7"/>
      <c r="M137" s="7"/>
      <c r="N137" s="7"/>
    </row>
    <row r="138" spans="4:14">
      <c r="D138" s="55" t="s">
        <v>606</v>
      </c>
      <c r="E138" s="28">
        <f t="shared" si="2"/>
        <v>0</v>
      </c>
      <c r="F138" s="69" t="s">
        <v>153</v>
      </c>
      <c r="G138" s="69" t="s">
        <v>618</v>
      </c>
      <c r="H138" s="35"/>
      <c r="I138" s="88"/>
      <c r="J138" s="7"/>
      <c r="K138" s="7"/>
      <c r="L138" s="7"/>
      <c r="M138" s="7"/>
      <c r="N138" s="7"/>
    </row>
    <row r="139" spans="4:14">
      <c r="D139" s="55" t="s">
        <v>607</v>
      </c>
      <c r="E139" s="28">
        <f t="shared" si="2"/>
        <v>0</v>
      </c>
      <c r="F139" s="69" t="s">
        <v>154</v>
      </c>
      <c r="G139" s="69" t="s">
        <v>619</v>
      </c>
      <c r="H139" s="35"/>
      <c r="I139" s="7"/>
      <c r="J139" s="7"/>
      <c r="K139" s="7"/>
      <c r="L139" s="7"/>
      <c r="M139" s="7"/>
      <c r="N139" s="7"/>
    </row>
    <row r="140" spans="4:14">
      <c r="D140" s="55" t="s">
        <v>600</v>
      </c>
      <c r="E140" s="28">
        <f t="shared" si="2"/>
        <v>0</v>
      </c>
      <c r="F140" s="69" t="s">
        <v>155</v>
      </c>
      <c r="G140" s="69" t="s">
        <v>620</v>
      </c>
      <c r="H140" s="36"/>
      <c r="I140" s="7"/>
      <c r="J140" s="7"/>
      <c r="K140" s="7"/>
      <c r="L140" s="7"/>
      <c r="M140" s="7"/>
      <c r="N140" s="7"/>
    </row>
    <row r="141" spans="4:14">
      <c r="D141" s="55" t="s">
        <v>601</v>
      </c>
      <c r="E141" s="28">
        <f t="shared" si="2"/>
        <v>0</v>
      </c>
      <c r="F141" s="69" t="s">
        <v>156</v>
      </c>
      <c r="G141" s="69" t="s">
        <v>614</v>
      </c>
      <c r="H141" s="89"/>
      <c r="I141" s="7"/>
      <c r="J141" s="7"/>
      <c r="K141" s="7"/>
      <c r="L141" s="7"/>
      <c r="M141" s="7"/>
      <c r="N141" s="7"/>
    </row>
    <row r="142" spans="4:14">
      <c r="D142" s="55" t="s">
        <v>602</v>
      </c>
      <c r="E142" s="28">
        <f t="shared" si="2"/>
        <v>0</v>
      </c>
      <c r="F142" s="69" t="s">
        <v>157</v>
      </c>
      <c r="G142" s="69" t="s">
        <v>621</v>
      </c>
      <c r="H142" s="89"/>
      <c r="I142" s="7"/>
      <c r="J142" s="7"/>
      <c r="K142" s="7"/>
      <c r="L142" s="7"/>
      <c r="M142" s="7"/>
      <c r="N142" s="7"/>
    </row>
    <row r="143" spans="4:14">
      <c r="D143" s="55" t="s">
        <v>603</v>
      </c>
      <c r="E143" s="28">
        <f t="shared" si="2"/>
        <v>0</v>
      </c>
      <c r="F143" s="69" t="s">
        <v>159</v>
      </c>
      <c r="G143" s="69" t="s">
        <v>158</v>
      </c>
      <c r="H143" s="71"/>
      <c r="I143" s="7"/>
      <c r="J143" s="7"/>
      <c r="K143" s="7"/>
      <c r="L143" s="7"/>
      <c r="M143" s="7"/>
      <c r="N143" s="7"/>
    </row>
    <row r="144" spans="4:14" ht="16" thickBot="1">
      <c r="D144" s="39" t="s">
        <v>608</v>
      </c>
      <c r="E144" s="90">
        <f>SUM(E128:E143)</f>
        <v>0</v>
      </c>
      <c r="F144" s="69" t="s">
        <v>126</v>
      </c>
      <c r="G144" s="69" t="s">
        <v>160</v>
      </c>
      <c r="I144" s="7"/>
      <c r="J144" s="7"/>
      <c r="K144" s="91"/>
      <c r="L144" s="83"/>
      <c r="M144" s="7"/>
      <c r="N144" s="7"/>
    </row>
    <row r="145" spans="4:14">
      <c r="D145" s="4"/>
      <c r="E145" s="4"/>
      <c r="F145" s="4"/>
      <c r="G145" s="7"/>
      <c r="H145" s="7"/>
      <c r="I145" s="7"/>
      <c r="J145" s="7"/>
      <c r="K145" s="7"/>
      <c r="L145" s="7"/>
      <c r="M145" s="7"/>
      <c r="N145" s="7"/>
    </row>
    <row r="146" spans="4:14" ht="16" thickBot="1">
      <c r="D146" s="4"/>
      <c r="E146" s="4"/>
      <c r="F146" s="4"/>
      <c r="G146" s="7"/>
      <c r="H146" s="7"/>
      <c r="I146" s="7"/>
      <c r="J146" s="7"/>
      <c r="K146" s="7"/>
      <c r="L146" s="7"/>
      <c r="M146" s="7"/>
      <c r="N146" s="7"/>
    </row>
    <row r="147" spans="4:14" ht="16" thickBot="1">
      <c r="D147" s="296" t="s">
        <v>161</v>
      </c>
      <c r="E147" s="360" t="s">
        <v>102</v>
      </c>
      <c r="F147" s="312"/>
      <c r="G147" s="7"/>
      <c r="H147" s="343" t="s">
        <v>162</v>
      </c>
      <c r="I147" s="343"/>
      <c r="J147" s="343"/>
      <c r="K147" s="343"/>
      <c r="L147" s="343"/>
      <c r="M147" s="343"/>
      <c r="N147" s="7"/>
    </row>
    <row r="148" spans="4:14" ht="31">
      <c r="D148" s="93"/>
      <c r="E148" s="1" t="s">
        <v>622</v>
      </c>
      <c r="F148" s="46" t="s">
        <v>623</v>
      </c>
      <c r="G148" s="359" t="s">
        <v>163</v>
      </c>
      <c r="H148" s="343"/>
      <c r="I148" s="343"/>
      <c r="J148" s="343"/>
      <c r="K148" s="343"/>
      <c r="L148" s="343"/>
      <c r="M148" s="343"/>
      <c r="N148" s="7"/>
    </row>
    <row r="149" spans="4:14">
      <c r="D149" s="43" t="s">
        <v>164</v>
      </c>
      <c r="E149" s="42">
        <v>0</v>
      </c>
      <c r="F149" s="41">
        <v>0</v>
      </c>
      <c r="G149" s="359"/>
      <c r="H149" s="343"/>
      <c r="I149" s="343"/>
      <c r="J149" s="343"/>
      <c r="K149" s="343"/>
      <c r="L149" s="343"/>
      <c r="M149" s="343"/>
      <c r="N149" s="7"/>
    </row>
    <row r="150" spans="4:14">
      <c r="D150" s="43" t="s">
        <v>165</v>
      </c>
      <c r="E150" s="42">
        <v>0</v>
      </c>
      <c r="F150" s="41">
        <v>0</v>
      </c>
      <c r="G150" s="359"/>
      <c r="H150" s="343"/>
      <c r="I150" s="343"/>
      <c r="J150" s="343"/>
      <c r="K150" s="343"/>
      <c r="L150" s="343"/>
      <c r="M150" s="343"/>
      <c r="N150" s="7"/>
    </row>
    <row r="151" spans="4:14" ht="32" customHeight="1" thickBot="1">
      <c r="D151" s="44" t="s">
        <v>166</v>
      </c>
      <c r="E151" s="94">
        <f>+E149+E150</f>
        <v>0</v>
      </c>
      <c r="F151" s="95">
        <f>+F149+F150</f>
        <v>0</v>
      </c>
      <c r="G151" s="359"/>
      <c r="H151" s="343"/>
      <c r="I151" s="343"/>
      <c r="J151" s="343"/>
      <c r="K151" s="343"/>
      <c r="L151" s="343"/>
      <c r="M151" s="343"/>
      <c r="N151" s="7"/>
    </row>
    <row r="152" spans="4:14">
      <c r="D152" s="5"/>
      <c r="E152" s="5"/>
      <c r="F152" s="5"/>
      <c r="G152" s="7"/>
      <c r="H152" s="7"/>
      <c r="I152" s="7"/>
      <c r="J152" s="7"/>
      <c r="K152" s="56"/>
      <c r="L152" s="56"/>
      <c r="M152" s="56"/>
      <c r="N152" s="56"/>
    </row>
    <row r="153" spans="4:14" ht="16" thickBot="1">
      <c r="D153" s="5"/>
      <c r="E153" s="5"/>
      <c r="F153" s="5"/>
      <c r="G153" s="7"/>
      <c r="H153" s="7"/>
      <c r="I153" s="7"/>
      <c r="J153" s="7"/>
      <c r="K153" s="56"/>
      <c r="L153" s="56"/>
      <c r="M153" s="56"/>
      <c r="N153" s="56"/>
    </row>
    <row r="154" spans="4:14" ht="16" thickBot="1">
      <c r="D154" s="311" t="s">
        <v>167</v>
      </c>
      <c r="E154" s="312" t="s">
        <v>102</v>
      </c>
      <c r="F154" s="56"/>
      <c r="G154" s="7"/>
      <c r="H154" s="7"/>
      <c r="I154" s="7"/>
      <c r="J154" s="7"/>
      <c r="K154" s="56"/>
      <c r="L154" s="56"/>
      <c r="M154" s="56"/>
      <c r="N154" s="56"/>
    </row>
    <row r="155" spans="4:14">
      <c r="D155" s="311" t="s">
        <v>168</v>
      </c>
      <c r="E155" s="312"/>
      <c r="F155" s="56"/>
      <c r="G155" s="56"/>
      <c r="H155" s="56"/>
      <c r="I155" s="56"/>
      <c r="J155" s="56"/>
      <c r="K155" s="56"/>
      <c r="L155" s="56"/>
      <c r="M155" s="56"/>
      <c r="N155" s="56"/>
    </row>
    <row r="156" spans="4:14">
      <c r="D156" s="96" t="s">
        <v>170</v>
      </c>
      <c r="E156" s="41">
        <v>0</v>
      </c>
      <c r="F156" s="56"/>
      <c r="G156" s="69" t="s">
        <v>169</v>
      </c>
      <c r="H156" s="56"/>
      <c r="I156" s="56"/>
      <c r="J156" s="56"/>
      <c r="K156" s="56"/>
      <c r="L156" s="56"/>
      <c r="M156" s="56"/>
      <c r="N156" s="56"/>
    </row>
    <row r="157" spans="4:14" ht="31">
      <c r="D157" s="97" t="s">
        <v>172</v>
      </c>
      <c r="E157" s="41">
        <v>0</v>
      </c>
      <c r="F157" s="56"/>
      <c r="G157" s="69" t="s">
        <v>171</v>
      </c>
      <c r="H157" s="56"/>
      <c r="I157" s="56"/>
      <c r="J157" s="56"/>
      <c r="K157" s="56"/>
      <c r="L157" s="56"/>
      <c r="M157" s="56"/>
      <c r="N157" s="56"/>
    </row>
    <row r="158" spans="4:14" ht="16" thickBot="1">
      <c r="D158" s="98" t="s">
        <v>174</v>
      </c>
      <c r="E158" s="99">
        <v>0</v>
      </c>
      <c r="F158" s="69" t="s">
        <v>151</v>
      </c>
      <c r="G158" s="69" t="s">
        <v>173</v>
      </c>
      <c r="H158" s="56"/>
      <c r="I158" s="56"/>
      <c r="J158" s="56"/>
      <c r="K158" s="56"/>
      <c r="L158" s="56"/>
      <c r="M158" s="56"/>
      <c r="N158" s="56"/>
    </row>
    <row r="159" spans="4:14" ht="16" thickBot="1">
      <c r="D159" s="56"/>
      <c r="E159" s="56"/>
      <c r="F159" s="56"/>
      <c r="G159" s="56"/>
      <c r="H159" s="56"/>
      <c r="I159" s="56"/>
      <c r="J159" s="56"/>
      <c r="K159" s="56"/>
      <c r="L159" s="56"/>
      <c r="M159" s="56"/>
      <c r="N159" s="56"/>
    </row>
    <row r="160" spans="4:14" ht="16" thickBot="1">
      <c r="D160" s="296" t="s">
        <v>175</v>
      </c>
      <c r="E160" s="297"/>
      <c r="F160" s="298"/>
      <c r="G160" s="56"/>
      <c r="H160" s="56"/>
      <c r="I160" s="56"/>
      <c r="J160" s="56"/>
      <c r="K160" s="56"/>
      <c r="L160" s="56"/>
      <c r="M160" s="56"/>
      <c r="N160" s="56"/>
    </row>
    <row r="161" spans="1:14">
      <c r="A161" s="258"/>
      <c r="D161" s="103"/>
      <c r="E161" s="104" t="s">
        <v>177</v>
      </c>
      <c r="F161" s="105" t="s">
        <v>178</v>
      </c>
      <c r="G161" s="69" t="s">
        <v>176</v>
      </c>
      <c r="H161" s="56"/>
      <c r="I161" s="56"/>
      <c r="J161" s="56"/>
      <c r="K161" s="56"/>
      <c r="L161" s="56"/>
      <c r="M161" s="56"/>
      <c r="N161" s="56"/>
    </row>
    <row r="162" spans="1:14">
      <c r="A162" s="259" t="s">
        <v>661</v>
      </c>
      <c r="D162" s="100" t="s">
        <v>180</v>
      </c>
      <c r="E162" s="129" t="s">
        <v>3</v>
      </c>
      <c r="F162" s="130" t="s">
        <v>3</v>
      </c>
      <c r="G162" s="116" t="s">
        <v>179</v>
      </c>
      <c r="H162" s="56"/>
      <c r="I162" s="56"/>
      <c r="J162" s="56"/>
      <c r="K162" s="56"/>
      <c r="L162" s="56"/>
      <c r="M162" s="56"/>
      <c r="N162" s="56"/>
    </row>
    <row r="163" spans="1:14">
      <c r="A163" s="258" t="s">
        <v>3</v>
      </c>
      <c r="D163" s="101" t="s">
        <v>182</v>
      </c>
      <c r="E163" s="129" t="s">
        <v>3</v>
      </c>
      <c r="F163" s="130" t="s">
        <v>3</v>
      </c>
      <c r="G163" s="116" t="s">
        <v>181</v>
      </c>
      <c r="H163" s="56"/>
      <c r="I163" s="56"/>
      <c r="J163" s="56"/>
      <c r="K163" s="56"/>
      <c r="L163" s="56"/>
      <c r="M163" s="56"/>
      <c r="N163" s="56"/>
    </row>
    <row r="164" spans="1:14" ht="16" thickBot="1">
      <c r="A164" s="258"/>
      <c r="D164" s="102" t="s">
        <v>184</v>
      </c>
      <c r="E164" s="131" t="s">
        <v>3</v>
      </c>
      <c r="F164" s="132" t="s">
        <v>3</v>
      </c>
      <c r="G164" s="116" t="s">
        <v>183</v>
      </c>
      <c r="H164" s="56"/>
      <c r="I164" s="56"/>
      <c r="J164" s="56"/>
      <c r="K164" s="56"/>
      <c r="L164" s="56"/>
      <c r="M164" s="56"/>
      <c r="N164" s="56"/>
    </row>
    <row r="165" spans="1:14" ht="16" thickBot="1">
      <c r="A165" s="258"/>
      <c r="D165" s="6"/>
      <c r="E165" s="56"/>
      <c r="F165" s="56"/>
      <c r="G165" s="56"/>
      <c r="H165" s="56"/>
      <c r="I165" s="56"/>
      <c r="J165" s="56"/>
      <c r="K165" s="56"/>
      <c r="L165" s="56"/>
      <c r="M165" s="7"/>
      <c r="N165" s="7"/>
    </row>
    <row r="166" spans="1:14" ht="16" thickBot="1">
      <c r="B166" s="9"/>
      <c r="D166" s="311" t="s">
        <v>185</v>
      </c>
      <c r="E166" s="312"/>
      <c r="F166" s="56"/>
      <c r="G166" s="56"/>
      <c r="H166" s="56"/>
      <c r="I166" s="56"/>
      <c r="J166" s="56"/>
      <c r="K166" s="56"/>
      <c r="L166" s="56"/>
      <c r="M166" s="7"/>
      <c r="N166" s="7"/>
    </row>
    <row r="167" spans="1:14" ht="16" thickBot="1">
      <c r="B167" s="9"/>
      <c r="D167" s="108" t="s">
        <v>626</v>
      </c>
      <c r="E167" s="109">
        <v>2024</v>
      </c>
      <c r="F167" s="69" t="s">
        <v>186</v>
      </c>
      <c r="G167" s="56"/>
      <c r="H167" s="56"/>
      <c r="I167" s="56"/>
      <c r="J167" s="56"/>
      <c r="K167" s="56"/>
      <c r="L167" s="56"/>
      <c r="M167" s="7"/>
      <c r="N167" s="7"/>
    </row>
    <row r="168" spans="1:14">
      <c r="B168" s="9"/>
      <c r="D168" s="311" t="s">
        <v>624</v>
      </c>
      <c r="E168" s="312"/>
      <c r="F168" s="7"/>
      <c r="G168" s="7"/>
      <c r="H168" s="7"/>
      <c r="I168" s="7"/>
      <c r="J168" s="7"/>
      <c r="K168" s="7"/>
      <c r="L168" s="7"/>
      <c r="M168" s="7"/>
      <c r="N168" s="7"/>
    </row>
    <row r="169" spans="1:14">
      <c r="B169" s="9"/>
      <c r="D169" s="364" t="s">
        <v>187</v>
      </c>
      <c r="E169" s="365"/>
      <c r="F169" s="7"/>
      <c r="G169" s="7"/>
      <c r="H169" s="7"/>
      <c r="I169" s="7"/>
      <c r="J169" s="7"/>
      <c r="K169" s="7"/>
      <c r="L169" s="7"/>
      <c r="M169" s="7"/>
      <c r="N169" s="7"/>
    </row>
    <row r="170" spans="1:14" ht="46.5" customHeight="1">
      <c r="B170" s="9"/>
      <c r="D170" s="43" t="s">
        <v>625</v>
      </c>
      <c r="E170" s="110" t="s">
        <v>189</v>
      </c>
      <c r="F170" s="69" t="s">
        <v>188</v>
      </c>
      <c r="G170" s="7"/>
      <c r="H170" s="7"/>
      <c r="I170" s="7"/>
      <c r="J170" s="7"/>
      <c r="K170" s="7"/>
      <c r="L170" s="7"/>
      <c r="M170" s="7"/>
      <c r="N170" s="7"/>
    </row>
    <row r="171" spans="1:14" ht="16" thickBot="1">
      <c r="B171" s="9"/>
      <c r="D171" s="111">
        <v>0</v>
      </c>
      <c r="E171" s="112">
        <v>0</v>
      </c>
      <c r="F171" s="7"/>
      <c r="G171" s="7"/>
      <c r="H171" s="7"/>
      <c r="I171" s="7"/>
      <c r="J171" s="7"/>
      <c r="K171" s="7"/>
      <c r="L171" s="7"/>
      <c r="M171" s="7"/>
      <c r="N171" s="7"/>
    </row>
    <row r="172" spans="1:14" ht="14" customHeight="1" thickBot="1">
      <c r="B172" s="9"/>
      <c r="C172" s="9"/>
      <c r="D172" s="347" t="s">
        <v>191</v>
      </c>
      <c r="E172" s="348"/>
      <c r="F172" s="348"/>
      <c r="G172" s="349"/>
      <c r="H172" s="7"/>
      <c r="I172" s="7"/>
      <c r="J172" s="7"/>
      <c r="K172" s="7"/>
      <c r="L172" s="7"/>
      <c r="M172" s="7"/>
      <c r="N172" s="7"/>
    </row>
    <row r="173" spans="1:14" ht="46.5">
      <c r="B173" s="9"/>
      <c r="C173" s="9"/>
      <c r="D173" s="113" t="s">
        <v>627</v>
      </c>
      <c r="E173" s="114" t="s">
        <v>628</v>
      </c>
      <c r="F173" s="114" t="s">
        <v>629</v>
      </c>
      <c r="G173" s="115" t="s">
        <v>630</v>
      </c>
      <c r="H173" s="116" t="s">
        <v>190</v>
      </c>
      <c r="I173" s="7"/>
      <c r="J173" s="7"/>
      <c r="K173" s="7"/>
      <c r="L173" s="7"/>
      <c r="M173" s="7"/>
      <c r="N173" s="7"/>
    </row>
    <row r="174" spans="1:14" ht="16" thickBot="1">
      <c r="B174" s="9"/>
      <c r="C174" s="9"/>
      <c r="D174" s="107">
        <v>0</v>
      </c>
      <c r="E174" s="106">
        <v>0</v>
      </c>
      <c r="F174" s="106">
        <v>0</v>
      </c>
      <c r="G174" s="99">
        <v>0</v>
      </c>
      <c r="H174" s="7"/>
      <c r="I174" s="7"/>
      <c r="J174" s="7"/>
      <c r="K174" s="7"/>
      <c r="L174" s="7"/>
      <c r="M174" s="7"/>
      <c r="N174" s="7"/>
    </row>
    <row r="175" spans="1:14" ht="16" thickBot="1">
      <c r="B175" s="9"/>
      <c r="C175" s="9"/>
      <c r="D175" s="7"/>
      <c r="E175" s="7"/>
      <c r="F175" s="7"/>
      <c r="G175" s="7"/>
      <c r="H175" s="7"/>
      <c r="I175" s="7"/>
      <c r="J175" s="7"/>
      <c r="K175" s="7"/>
      <c r="L175" s="7"/>
      <c r="M175" s="7"/>
      <c r="N175" s="7"/>
    </row>
    <row r="176" spans="1:14" ht="15.5" customHeight="1">
      <c r="B176" s="9"/>
      <c r="C176" s="9"/>
      <c r="D176" s="320" t="s">
        <v>193</v>
      </c>
      <c r="E176" s="321"/>
      <c r="F176" s="321"/>
      <c r="G176" s="321"/>
      <c r="H176" s="322"/>
      <c r="I176" s="7"/>
      <c r="J176" s="7"/>
      <c r="K176" s="7"/>
      <c r="L176" s="7"/>
      <c r="M176" s="7"/>
      <c r="N176" s="7"/>
    </row>
    <row r="177" spans="1:17" ht="46.5">
      <c r="B177" s="9"/>
      <c r="C177" s="9"/>
      <c r="D177" s="117" t="s">
        <v>631</v>
      </c>
      <c r="E177" s="48" t="s">
        <v>632</v>
      </c>
      <c r="F177" s="48" t="s">
        <v>633</v>
      </c>
      <c r="G177" s="48" t="s">
        <v>634</v>
      </c>
      <c r="H177" s="118" t="s">
        <v>635</v>
      </c>
      <c r="I177" s="116" t="s">
        <v>192</v>
      </c>
      <c r="J177" s="343" t="s">
        <v>194</v>
      </c>
      <c r="K177" s="343"/>
      <c r="L177" s="343"/>
      <c r="M177" s="343"/>
      <c r="N177" s="343"/>
    </row>
    <row r="178" spans="1:17">
      <c r="A178" s="84" t="s">
        <v>645</v>
      </c>
      <c r="B178" s="9"/>
      <c r="C178" s="9"/>
      <c r="D178" s="119" t="s">
        <v>3</v>
      </c>
      <c r="E178" s="42">
        <v>0</v>
      </c>
      <c r="F178" s="42">
        <v>0</v>
      </c>
      <c r="G178" s="42">
        <v>0</v>
      </c>
      <c r="H178" s="41">
        <v>0</v>
      </c>
      <c r="I178" s="7"/>
      <c r="J178" s="343"/>
      <c r="K178" s="343"/>
      <c r="L178" s="343"/>
      <c r="M178" s="343"/>
      <c r="N178" s="343"/>
    </row>
    <row r="179" spans="1:17" ht="16" thickBot="1">
      <c r="A179" s="84" t="s">
        <v>3</v>
      </c>
      <c r="B179" s="9"/>
      <c r="C179" s="9"/>
      <c r="D179" s="107" t="s">
        <v>3</v>
      </c>
      <c r="E179" s="106">
        <v>0</v>
      </c>
      <c r="F179" s="106">
        <v>0</v>
      </c>
      <c r="G179" s="106">
        <v>0</v>
      </c>
      <c r="H179" s="99">
        <v>0</v>
      </c>
      <c r="I179" s="7"/>
      <c r="J179" s="343"/>
      <c r="K179" s="343"/>
      <c r="L179" s="343"/>
      <c r="M179" s="343"/>
      <c r="N179" s="343"/>
    </row>
    <row r="180" spans="1:17">
      <c r="C180" s="9"/>
      <c r="I180" s="7"/>
      <c r="J180" s="7"/>
      <c r="K180" s="7"/>
      <c r="L180" s="7"/>
      <c r="M180" s="7"/>
      <c r="N180" s="7"/>
    </row>
    <row r="181" spans="1:17" ht="16" thickBot="1">
      <c r="I181" s="7"/>
      <c r="J181" s="7"/>
      <c r="K181" s="7"/>
      <c r="L181" s="7"/>
      <c r="M181" s="7"/>
      <c r="N181" s="7"/>
    </row>
    <row r="182" spans="1:17" ht="20.5" thickBot="1">
      <c r="D182" s="309" t="s">
        <v>195</v>
      </c>
      <c r="E182" s="310" t="s">
        <v>1</v>
      </c>
      <c r="F182" s="10"/>
      <c r="G182" s="10"/>
      <c r="H182" s="10"/>
      <c r="I182" s="10"/>
      <c r="J182" s="10"/>
      <c r="K182" s="17"/>
      <c r="L182" s="10"/>
      <c r="M182" s="7"/>
      <c r="N182" s="7"/>
    </row>
    <row r="183" spans="1:17" ht="16" thickBot="1">
      <c r="D183" s="311" t="s">
        <v>636</v>
      </c>
      <c r="E183" s="312"/>
      <c r="F183" s="5"/>
      <c r="G183" s="5"/>
      <c r="H183" s="5"/>
      <c r="I183" s="5"/>
      <c r="J183" s="5"/>
      <c r="K183" s="5"/>
      <c r="L183" s="5"/>
      <c r="M183" s="7"/>
      <c r="N183" s="7"/>
    </row>
    <row r="184" spans="1:17">
      <c r="D184" s="320" t="s">
        <v>196</v>
      </c>
      <c r="E184" s="322"/>
      <c r="F184" s="7"/>
      <c r="G184" s="7"/>
      <c r="H184" s="7"/>
      <c r="I184" s="7"/>
      <c r="J184" s="7"/>
      <c r="K184" s="7"/>
      <c r="L184" s="10"/>
      <c r="M184" s="7"/>
      <c r="N184" s="7"/>
    </row>
    <row r="185" spans="1:17">
      <c r="D185" s="24" t="s">
        <v>637</v>
      </c>
      <c r="E185" s="110"/>
      <c r="F185" s="69" t="s">
        <v>197</v>
      </c>
      <c r="G185" s="7"/>
      <c r="H185" s="7"/>
      <c r="I185" s="7"/>
      <c r="J185" s="7"/>
      <c r="K185" s="7"/>
      <c r="L185" s="9"/>
    </row>
    <row r="186" spans="1:17" ht="33.5" customHeight="1">
      <c r="A186" s="84" t="s">
        <v>648</v>
      </c>
      <c r="D186" s="120" t="s">
        <v>641</v>
      </c>
      <c r="E186" s="41" t="s">
        <v>650</v>
      </c>
      <c r="F186" s="69" t="s">
        <v>638</v>
      </c>
      <c r="G186" s="350" t="s">
        <v>198</v>
      </c>
      <c r="H186" s="351"/>
      <c r="I186" s="351"/>
      <c r="J186" s="351"/>
      <c r="K186" s="351"/>
      <c r="L186" s="351"/>
      <c r="M186" s="351"/>
      <c r="N186" s="351"/>
      <c r="O186" s="351"/>
      <c r="P186" s="351"/>
      <c r="Q186" s="352"/>
    </row>
    <row r="187" spans="1:17" ht="29" customHeight="1">
      <c r="A187" s="84" t="s">
        <v>649</v>
      </c>
      <c r="D187" s="120" t="s">
        <v>642</v>
      </c>
      <c r="E187" s="41" t="s">
        <v>650</v>
      </c>
      <c r="F187" s="69" t="s">
        <v>639</v>
      </c>
      <c r="G187" s="343" t="s">
        <v>199</v>
      </c>
      <c r="H187" s="343"/>
      <c r="I187" s="343"/>
      <c r="J187" s="343"/>
      <c r="K187" s="343"/>
      <c r="L187" s="343"/>
      <c r="M187" s="343"/>
      <c r="N187" s="343"/>
      <c r="O187" s="343"/>
      <c r="P187" s="343"/>
      <c r="Q187" s="343"/>
    </row>
    <row r="188" spans="1:17">
      <c r="A188" s="84" t="s">
        <v>650</v>
      </c>
      <c r="D188" s="120" t="s">
        <v>643</v>
      </c>
      <c r="E188" s="41" t="s">
        <v>650</v>
      </c>
      <c r="F188" s="69" t="s">
        <v>200</v>
      </c>
      <c r="G188" s="344" t="s">
        <v>201</v>
      </c>
      <c r="H188" s="345"/>
      <c r="I188" s="345"/>
      <c r="J188" s="345"/>
      <c r="K188" s="345"/>
      <c r="L188" s="345"/>
      <c r="M188" s="345"/>
      <c r="N188" s="345"/>
      <c r="O188" s="345"/>
      <c r="P188" s="345"/>
      <c r="Q188" s="346"/>
    </row>
    <row r="189" spans="1:17" ht="31" customHeight="1" thickBot="1">
      <c r="D189" s="125" t="s">
        <v>644</v>
      </c>
      <c r="E189" s="112" t="s">
        <v>650</v>
      </c>
      <c r="F189" s="69" t="s">
        <v>640</v>
      </c>
      <c r="G189" s="343" t="s">
        <v>202</v>
      </c>
      <c r="H189" s="343"/>
      <c r="I189" s="343"/>
      <c r="J189" s="343"/>
      <c r="K189" s="343"/>
      <c r="L189" s="343"/>
      <c r="M189" s="343"/>
      <c r="N189" s="343"/>
      <c r="O189" s="343"/>
      <c r="P189" s="343"/>
      <c r="Q189" s="343"/>
    </row>
    <row r="190" spans="1:17" ht="15.5" customHeight="1">
      <c r="D190" s="126" t="s">
        <v>204</v>
      </c>
      <c r="E190" s="127" t="s">
        <v>205</v>
      </c>
      <c r="F190" s="128" t="s">
        <v>206</v>
      </c>
      <c r="G190" s="299" t="s">
        <v>203</v>
      </c>
      <c r="H190" s="7"/>
      <c r="I190" s="7"/>
      <c r="J190" s="7"/>
      <c r="K190" s="7"/>
      <c r="L190" s="7"/>
    </row>
    <row r="191" spans="1:17" ht="68" customHeight="1">
      <c r="D191" s="43" t="s">
        <v>653</v>
      </c>
      <c r="E191" s="129" t="s">
        <v>3</v>
      </c>
      <c r="F191" s="130" t="s">
        <v>3</v>
      </c>
      <c r="G191" s="299"/>
      <c r="H191" s="292" t="s">
        <v>207</v>
      </c>
      <c r="I191" s="292"/>
      <c r="J191" s="292"/>
      <c r="K191" s="292"/>
      <c r="L191" s="292"/>
      <c r="M191" s="292"/>
      <c r="N191" s="292"/>
      <c r="O191" s="292"/>
      <c r="P191" s="292"/>
      <c r="Q191" s="292"/>
    </row>
    <row r="192" spans="1:17" ht="30" customHeight="1">
      <c r="D192" s="43" t="s">
        <v>654</v>
      </c>
      <c r="E192" s="129" t="s">
        <v>3</v>
      </c>
      <c r="F192" s="130" t="s">
        <v>3</v>
      </c>
      <c r="G192" s="299"/>
      <c r="H192" s="292" t="s">
        <v>208</v>
      </c>
      <c r="I192" s="292"/>
      <c r="J192" s="292"/>
      <c r="K192" s="292"/>
      <c r="L192" s="292"/>
      <c r="M192" s="292"/>
      <c r="N192" s="292"/>
      <c r="O192" s="292"/>
      <c r="P192" s="292"/>
      <c r="Q192" s="292"/>
    </row>
    <row r="193" spans="1:17" ht="30" customHeight="1">
      <c r="D193" s="43" t="s">
        <v>655</v>
      </c>
      <c r="E193" s="129" t="s">
        <v>3</v>
      </c>
      <c r="F193" s="130" t="s">
        <v>3</v>
      </c>
      <c r="G193" s="299"/>
      <c r="H193" s="292" t="s">
        <v>209</v>
      </c>
      <c r="I193" s="292"/>
      <c r="J193" s="292"/>
      <c r="K193" s="292"/>
      <c r="L193" s="292"/>
      <c r="M193" s="292"/>
      <c r="N193" s="292"/>
      <c r="O193" s="292"/>
      <c r="P193" s="292"/>
      <c r="Q193" s="292"/>
    </row>
    <row r="194" spans="1:17" ht="31" customHeight="1">
      <c r="D194" s="43" t="s">
        <v>656</v>
      </c>
      <c r="E194" s="129" t="s">
        <v>3</v>
      </c>
      <c r="F194" s="130" t="s">
        <v>3</v>
      </c>
      <c r="G194" s="299"/>
      <c r="H194" s="292" t="s">
        <v>210</v>
      </c>
      <c r="I194" s="292"/>
      <c r="J194" s="292"/>
      <c r="K194" s="292"/>
      <c r="L194" s="292"/>
      <c r="M194" s="292"/>
      <c r="N194" s="292"/>
      <c r="O194" s="292"/>
      <c r="P194" s="292"/>
      <c r="Q194" s="292"/>
    </row>
    <row r="195" spans="1:17" ht="15.75" customHeight="1" thickBot="1">
      <c r="D195" s="44" t="s">
        <v>657</v>
      </c>
      <c r="E195" s="131" t="s">
        <v>3</v>
      </c>
      <c r="F195" s="132" t="s">
        <v>3</v>
      </c>
      <c r="G195" s="299"/>
      <c r="H195" s="89"/>
      <c r="I195" s="7"/>
      <c r="J195" s="7"/>
      <c r="K195" s="7"/>
      <c r="L195" s="7"/>
    </row>
    <row r="196" spans="1:17">
      <c r="D196" s="133" t="s">
        <v>658</v>
      </c>
      <c r="E196" s="134" t="s">
        <v>659</v>
      </c>
      <c r="F196" s="135" t="s">
        <v>660</v>
      </c>
      <c r="G196" s="45" t="s">
        <v>211</v>
      </c>
      <c r="H196" s="7"/>
      <c r="I196" s="7"/>
      <c r="J196" s="7"/>
      <c r="K196" s="7"/>
      <c r="L196" s="9"/>
    </row>
    <row r="197" spans="1:17" ht="47.5" customHeight="1" thickBot="1">
      <c r="D197" s="136" t="s">
        <v>662</v>
      </c>
      <c r="E197" s="131" t="s">
        <v>3</v>
      </c>
      <c r="F197" s="132" t="s">
        <v>3</v>
      </c>
      <c r="G197" s="45" t="s">
        <v>212</v>
      </c>
      <c r="H197" s="292" t="s">
        <v>59</v>
      </c>
      <c r="I197" s="292"/>
      <c r="J197" s="292"/>
      <c r="K197" s="292"/>
      <c r="L197" s="292"/>
      <c r="M197" s="292"/>
      <c r="N197" s="292"/>
      <c r="O197" s="292"/>
      <c r="P197" s="292"/>
      <c r="Q197" s="292"/>
    </row>
    <row r="198" spans="1:17" ht="16" thickBot="1">
      <c r="D198" s="9"/>
      <c r="E198" s="9"/>
      <c r="F198" s="8"/>
      <c r="G198" s="8"/>
      <c r="H198" s="8"/>
      <c r="I198" s="8"/>
      <c r="J198" s="8"/>
      <c r="K198" s="8"/>
      <c r="L198" s="9"/>
    </row>
    <row r="199" spans="1:17">
      <c r="D199" s="320" t="s">
        <v>213</v>
      </c>
      <c r="E199" s="322"/>
      <c r="F199" s="10"/>
      <c r="G199" s="8"/>
      <c r="H199" s="10"/>
      <c r="I199" s="10"/>
      <c r="J199" s="10"/>
      <c r="K199" s="10"/>
      <c r="L199" s="10"/>
    </row>
    <row r="200" spans="1:17">
      <c r="D200" s="366" t="s">
        <v>663</v>
      </c>
      <c r="E200" s="367"/>
      <c r="F200" s="45" t="s">
        <v>214</v>
      </c>
      <c r="G200" s="89"/>
      <c r="H200" s="89"/>
      <c r="I200" s="7"/>
      <c r="J200" s="7"/>
      <c r="K200" s="7"/>
      <c r="L200" s="9"/>
    </row>
    <row r="201" spans="1:17">
      <c r="D201" s="137" t="s">
        <v>664</v>
      </c>
      <c r="E201" s="41">
        <v>0</v>
      </c>
      <c r="F201" s="45" t="s">
        <v>215</v>
      </c>
      <c r="G201" s="89"/>
      <c r="I201" s="7"/>
      <c r="J201" s="7"/>
      <c r="K201" s="7"/>
      <c r="L201" s="9"/>
    </row>
    <row r="202" spans="1:17">
      <c r="D202" s="137" t="s">
        <v>666</v>
      </c>
      <c r="E202" s="41">
        <v>0</v>
      </c>
      <c r="F202" s="45" t="s">
        <v>216</v>
      </c>
      <c r="G202" s="89"/>
      <c r="I202" s="7"/>
      <c r="J202" s="7"/>
      <c r="K202" s="7"/>
      <c r="L202" s="9"/>
    </row>
    <row r="203" spans="1:17">
      <c r="D203" s="137" t="s">
        <v>667</v>
      </c>
      <c r="E203" s="41">
        <v>0</v>
      </c>
      <c r="F203" s="45" t="s">
        <v>217</v>
      </c>
      <c r="G203" s="89"/>
      <c r="I203" s="7"/>
      <c r="J203" s="7"/>
      <c r="K203" s="7"/>
      <c r="L203" s="9"/>
    </row>
    <row r="204" spans="1:17" ht="16" thickBot="1">
      <c r="D204" s="138" t="s">
        <v>665</v>
      </c>
      <c r="E204" s="139">
        <f>+E201+E202-E203</f>
        <v>0</v>
      </c>
      <c r="F204" s="45" t="s">
        <v>218</v>
      </c>
      <c r="G204" s="89"/>
      <c r="I204" s="7"/>
      <c r="J204" s="7"/>
      <c r="K204" s="7"/>
      <c r="L204" s="9"/>
    </row>
    <row r="205" spans="1:17" ht="16" thickBot="1">
      <c r="D205" s="7"/>
      <c r="E205" s="7"/>
      <c r="F205" s="7"/>
      <c r="G205" s="7"/>
      <c r="H205" s="7"/>
      <c r="I205" s="7"/>
      <c r="J205" s="7"/>
      <c r="K205" s="7"/>
    </row>
    <row r="206" spans="1:17">
      <c r="D206" s="320" t="s">
        <v>219</v>
      </c>
      <c r="E206" s="322" t="s">
        <v>102</v>
      </c>
      <c r="F206" s="5"/>
      <c r="G206" s="5"/>
      <c r="H206" s="5"/>
      <c r="I206" s="5"/>
      <c r="J206" s="5"/>
      <c r="K206" s="5"/>
      <c r="L206" s="5"/>
      <c r="M206" s="5"/>
      <c r="N206" s="5"/>
    </row>
    <row r="207" spans="1:17" ht="31" customHeight="1" thickBot="1">
      <c r="D207" s="140" t="s">
        <v>221</v>
      </c>
      <c r="E207" s="112" t="s">
        <v>650</v>
      </c>
      <c r="F207" s="45" t="s">
        <v>220</v>
      </c>
      <c r="G207" s="328" t="s">
        <v>222</v>
      </c>
      <c r="H207" s="329"/>
      <c r="I207" s="329"/>
      <c r="J207" s="329"/>
      <c r="K207" s="290"/>
      <c r="L207" s="290"/>
      <c r="M207" s="290"/>
      <c r="N207" s="290"/>
      <c r="O207" s="290"/>
      <c r="P207" s="291"/>
    </row>
    <row r="208" spans="1:17">
      <c r="A208" s="9"/>
      <c r="B208" s="9"/>
      <c r="C208" s="9"/>
      <c r="D208" s="320" t="s">
        <v>223</v>
      </c>
      <c r="E208" s="321"/>
      <c r="F208" s="321"/>
      <c r="G208" s="321"/>
      <c r="H208" s="321"/>
      <c r="I208" s="321"/>
      <c r="J208" s="322"/>
      <c r="K208" s="7"/>
      <c r="L208" s="7"/>
      <c r="M208" s="7"/>
      <c r="N208" s="7"/>
    </row>
    <row r="209" spans="1:16" ht="77.5" customHeight="1">
      <c r="A209" s="9"/>
      <c r="B209" s="9"/>
      <c r="C209" s="9"/>
      <c r="D209" s="370" t="s">
        <v>224</v>
      </c>
      <c r="E209" s="368" t="s">
        <v>668</v>
      </c>
      <c r="F209" s="293" t="s">
        <v>669</v>
      </c>
      <c r="G209" s="294"/>
      <c r="H209" s="294"/>
      <c r="I209" s="295"/>
      <c r="J209" s="110" t="s">
        <v>670</v>
      </c>
      <c r="K209" s="299" t="s">
        <v>220</v>
      </c>
      <c r="L209" s="7"/>
      <c r="M209" s="7"/>
      <c r="N209" s="7"/>
    </row>
    <row r="210" spans="1:16" ht="18.5">
      <c r="A210" s="9"/>
      <c r="B210" s="9"/>
      <c r="C210" s="9"/>
      <c r="D210" s="371"/>
      <c r="E210" s="369"/>
      <c r="F210" s="19" t="s">
        <v>226</v>
      </c>
      <c r="G210" s="19" t="s">
        <v>228</v>
      </c>
      <c r="H210" s="19" t="s">
        <v>229</v>
      </c>
      <c r="I210" s="1" t="s">
        <v>230</v>
      </c>
      <c r="J210" s="110"/>
      <c r="K210" s="299"/>
      <c r="L210" s="7"/>
      <c r="M210" s="7"/>
      <c r="N210" s="7"/>
    </row>
    <row r="211" spans="1:16" ht="18.5">
      <c r="A211" s="9"/>
      <c r="B211" s="9"/>
      <c r="C211" s="9"/>
      <c r="D211" s="141" t="s">
        <v>225</v>
      </c>
      <c r="E211" s="42">
        <v>0</v>
      </c>
      <c r="F211" s="42">
        <v>0</v>
      </c>
      <c r="G211" s="42">
        <v>0</v>
      </c>
      <c r="H211" s="42">
        <v>0</v>
      </c>
      <c r="I211" s="42">
        <v>0</v>
      </c>
      <c r="J211" s="41">
        <v>0</v>
      </c>
      <c r="K211" s="299"/>
      <c r="L211" s="7"/>
      <c r="M211" s="7"/>
      <c r="N211" s="7"/>
    </row>
    <row r="212" spans="1:16" ht="18.5">
      <c r="A212" s="9"/>
      <c r="B212" s="9"/>
      <c r="C212" s="9"/>
      <c r="D212" s="141" t="s">
        <v>226</v>
      </c>
      <c r="E212" s="42">
        <v>0</v>
      </c>
      <c r="F212" s="1" t="s">
        <v>227</v>
      </c>
      <c r="G212" s="42">
        <v>0</v>
      </c>
      <c r="H212" s="42">
        <v>0</v>
      </c>
      <c r="I212" s="42">
        <v>0</v>
      </c>
      <c r="J212" s="41">
        <v>0</v>
      </c>
      <c r="K212" s="299"/>
      <c r="L212" s="7"/>
      <c r="M212" s="7"/>
      <c r="N212" s="7"/>
    </row>
    <row r="213" spans="1:16" ht="18.5">
      <c r="A213" s="9"/>
      <c r="B213" s="9"/>
      <c r="C213" s="9"/>
      <c r="D213" s="141" t="s">
        <v>228</v>
      </c>
      <c r="E213" s="42">
        <v>0</v>
      </c>
      <c r="F213" s="1" t="s">
        <v>227</v>
      </c>
      <c r="G213" s="3" t="s">
        <v>227</v>
      </c>
      <c r="H213" s="42">
        <v>0</v>
      </c>
      <c r="I213" s="42">
        <v>0</v>
      </c>
      <c r="J213" s="41">
        <v>0</v>
      </c>
      <c r="K213" s="299"/>
      <c r="L213" s="7"/>
      <c r="M213" s="7"/>
      <c r="N213" s="7"/>
    </row>
    <row r="214" spans="1:16" ht="18.5">
      <c r="A214" s="9"/>
      <c r="B214" s="9"/>
      <c r="C214" s="9"/>
      <c r="D214" s="141" t="s">
        <v>229</v>
      </c>
      <c r="E214" s="42">
        <v>0</v>
      </c>
      <c r="F214" s="1" t="s">
        <v>227</v>
      </c>
      <c r="G214" s="3" t="s">
        <v>227</v>
      </c>
      <c r="H214" s="1" t="s">
        <v>227</v>
      </c>
      <c r="I214" s="42">
        <v>0</v>
      </c>
      <c r="J214" s="41">
        <v>0</v>
      </c>
      <c r="K214" s="299"/>
      <c r="L214" s="7"/>
      <c r="M214" s="7"/>
      <c r="N214" s="7"/>
    </row>
    <row r="215" spans="1:16" ht="15" customHeight="1" thickBot="1">
      <c r="A215" s="9"/>
      <c r="B215" s="9"/>
      <c r="C215" s="9"/>
      <c r="D215" s="25" t="s">
        <v>230</v>
      </c>
      <c r="E215" s="106">
        <v>0</v>
      </c>
      <c r="F215" s="142" t="s">
        <v>227</v>
      </c>
      <c r="G215" s="143" t="s">
        <v>227</v>
      </c>
      <c r="H215" s="142" t="s">
        <v>227</v>
      </c>
      <c r="I215" s="143" t="s">
        <v>227</v>
      </c>
      <c r="J215" s="144" t="s">
        <v>227</v>
      </c>
      <c r="K215" s="299"/>
      <c r="L215" s="7"/>
      <c r="M215" s="7"/>
      <c r="N215" s="7"/>
    </row>
    <row r="216" spans="1:16" ht="16" thickBot="1">
      <c r="A216" s="9"/>
      <c r="B216" s="9"/>
      <c r="C216" s="9"/>
      <c r="D216" s="11"/>
      <c r="E216" s="8"/>
      <c r="F216" s="11"/>
      <c r="G216" s="7"/>
      <c r="H216" s="7"/>
      <c r="I216" s="7"/>
      <c r="J216" s="7"/>
      <c r="K216" s="7"/>
      <c r="L216" s="7"/>
      <c r="M216" s="7"/>
      <c r="N216" s="7"/>
    </row>
    <row r="217" spans="1:16" ht="16" thickBot="1">
      <c r="A217" s="9"/>
      <c r="B217" s="9"/>
      <c r="C217" s="9"/>
      <c r="D217" s="296" t="s">
        <v>231</v>
      </c>
      <c r="E217" s="297"/>
      <c r="F217" s="298"/>
      <c r="G217" s="7"/>
      <c r="H217" s="7"/>
      <c r="I217" s="7"/>
      <c r="J217" s="7"/>
      <c r="K217" s="7"/>
      <c r="L217" s="7"/>
      <c r="M217" s="7"/>
      <c r="N217" s="7"/>
    </row>
    <row r="218" spans="1:16" ht="15" customHeight="1">
      <c r="A218" s="9"/>
      <c r="B218" s="9"/>
      <c r="C218" s="9"/>
      <c r="D218" s="145" t="s">
        <v>671</v>
      </c>
      <c r="E218" s="146" t="s">
        <v>672</v>
      </c>
      <c r="F218" s="135" t="s">
        <v>673</v>
      </c>
      <c r="G218" s="299" t="s">
        <v>232</v>
      </c>
      <c r="H218" s="7"/>
      <c r="I218" s="7"/>
      <c r="J218" s="7"/>
      <c r="K218" s="7"/>
      <c r="L218" s="7"/>
      <c r="M218" s="7"/>
      <c r="N218" s="7"/>
    </row>
    <row r="219" spans="1:16" ht="30" customHeight="1" thickBot="1">
      <c r="A219" s="9"/>
      <c r="B219" s="9"/>
      <c r="C219" s="9"/>
      <c r="D219" s="107">
        <v>0</v>
      </c>
      <c r="E219" s="106">
        <v>0</v>
      </c>
      <c r="F219" s="99">
        <v>0</v>
      </c>
      <c r="G219" s="299"/>
      <c r="H219" s="7"/>
      <c r="I219" s="7"/>
      <c r="J219" s="7"/>
      <c r="K219" s="7"/>
      <c r="L219" s="7"/>
      <c r="M219" s="7"/>
      <c r="N219" s="7"/>
    </row>
    <row r="220" spans="1:16">
      <c r="A220" s="9"/>
      <c r="B220" s="9"/>
      <c r="C220" s="9"/>
      <c r="D220" s="5"/>
      <c r="E220" s="5"/>
      <c r="F220" s="5"/>
      <c r="G220" s="5"/>
      <c r="H220" s="5"/>
      <c r="I220" s="5"/>
      <c r="J220" s="5"/>
      <c r="K220" s="5"/>
      <c r="L220" s="5"/>
      <c r="M220" s="5"/>
      <c r="N220" s="5"/>
    </row>
    <row r="221" spans="1:16" ht="16" thickBot="1">
      <c r="A221" s="9"/>
      <c r="B221" s="9"/>
      <c r="C221" s="9"/>
      <c r="D221" s="5"/>
      <c r="E221" s="5"/>
      <c r="F221" s="5"/>
      <c r="G221" s="5"/>
      <c r="H221" s="5"/>
      <c r="I221" s="5"/>
      <c r="J221" s="5"/>
      <c r="K221" s="5"/>
      <c r="L221" s="5"/>
      <c r="M221" s="5"/>
      <c r="N221" s="5"/>
    </row>
    <row r="222" spans="1:16" ht="33" customHeight="1" thickBot="1">
      <c r="A222" s="9"/>
      <c r="B222" s="9"/>
      <c r="C222" s="9"/>
      <c r="D222" s="353" t="s">
        <v>234</v>
      </c>
      <c r="E222" s="354"/>
      <c r="F222" s="45" t="s">
        <v>233</v>
      </c>
      <c r="G222" s="292" t="s">
        <v>235</v>
      </c>
      <c r="H222" s="292"/>
      <c r="I222" s="292"/>
      <c r="J222" s="292"/>
      <c r="K222" s="292"/>
      <c r="L222" s="292"/>
      <c r="M222" s="292"/>
      <c r="N222" s="292"/>
      <c r="O222" s="292"/>
      <c r="P222" s="292"/>
    </row>
    <row r="223" spans="1:16" ht="15" customHeight="1" thickBot="1">
      <c r="A223" s="9"/>
      <c r="B223" s="9"/>
      <c r="C223" s="9"/>
      <c r="D223" s="296" t="s">
        <v>236</v>
      </c>
      <c r="E223" s="298"/>
      <c r="F223" s="7"/>
      <c r="G223" s="7"/>
      <c r="H223" s="7"/>
      <c r="I223" s="7"/>
      <c r="J223" s="7"/>
      <c r="K223" s="7"/>
      <c r="L223" s="7"/>
      <c r="M223" s="7"/>
      <c r="N223" s="7"/>
    </row>
    <row r="224" spans="1:16">
      <c r="A224" s="84"/>
      <c r="B224" s="9"/>
      <c r="C224" s="9"/>
      <c r="D224" s="12" t="s">
        <v>238</v>
      </c>
      <c r="E224" s="41" t="s">
        <v>650</v>
      </c>
      <c r="F224" s="45" t="s">
        <v>237</v>
      </c>
      <c r="G224" s="18"/>
      <c r="H224" s="18"/>
      <c r="I224" s="18"/>
      <c r="J224" s="18"/>
      <c r="K224" s="18"/>
      <c r="L224" s="18"/>
      <c r="M224" s="18"/>
      <c r="N224" s="18"/>
      <c r="O224" s="18"/>
      <c r="P224" s="18"/>
    </row>
    <row r="225" spans="1:30" ht="16" thickBot="1">
      <c r="A225" s="84"/>
      <c r="B225" s="9"/>
      <c r="C225" s="9"/>
      <c r="D225" s="5"/>
      <c r="E225" s="7"/>
      <c r="F225" s="7"/>
      <c r="G225" s="7"/>
      <c r="H225" s="7"/>
      <c r="I225" s="7"/>
      <c r="J225" s="7"/>
      <c r="K225" s="7"/>
      <c r="L225" s="7"/>
      <c r="M225" s="7"/>
      <c r="N225" s="7"/>
    </row>
    <row r="226" spans="1:30" ht="15.5" customHeight="1">
      <c r="A226" s="84"/>
      <c r="B226" s="9"/>
      <c r="C226" s="9"/>
      <c r="D226" s="320" t="s">
        <v>240</v>
      </c>
      <c r="E226" s="322"/>
      <c r="F226" s="299" t="s">
        <v>239</v>
      </c>
      <c r="G226" s="7"/>
      <c r="H226" s="7"/>
      <c r="I226" s="7"/>
      <c r="J226" s="7"/>
      <c r="K226" s="7"/>
      <c r="L226" s="7"/>
      <c r="M226" s="7"/>
      <c r="N226" s="7"/>
    </row>
    <row r="227" spans="1:30">
      <c r="A227" s="9"/>
      <c r="B227" s="9"/>
      <c r="C227" s="9"/>
      <c r="D227" s="43" t="s">
        <v>241</v>
      </c>
      <c r="E227" s="147" t="s">
        <v>242</v>
      </c>
      <c r="F227" s="299"/>
      <c r="G227" s="7"/>
      <c r="H227" s="7"/>
      <c r="I227" s="7"/>
      <c r="J227" s="7"/>
      <c r="K227" s="7"/>
      <c r="L227" s="7"/>
      <c r="M227" s="7"/>
      <c r="N227" s="7"/>
    </row>
    <row r="228" spans="1:30" ht="21" customHeight="1" thickBot="1">
      <c r="A228" s="84" t="s">
        <v>674</v>
      </c>
      <c r="B228" s="9"/>
      <c r="C228" s="9"/>
      <c r="D228" s="107" t="s">
        <v>3</v>
      </c>
      <c r="E228" s="99" t="s">
        <v>3</v>
      </c>
      <c r="F228" s="299"/>
      <c r="G228" s="89"/>
      <c r="H228" s="7"/>
      <c r="I228" s="7"/>
      <c r="J228" s="7"/>
      <c r="K228" s="7"/>
      <c r="L228" s="7"/>
      <c r="M228" s="7"/>
      <c r="N228" s="7"/>
    </row>
    <row r="229" spans="1:30" ht="16" thickBot="1">
      <c r="A229" s="84" t="s">
        <v>3</v>
      </c>
    </row>
    <row r="230" spans="1:30" ht="16.5" customHeight="1" thickBot="1">
      <c r="A230" s="9"/>
      <c r="B230" s="9"/>
      <c r="C230" s="9"/>
      <c r="D230" s="296" t="s">
        <v>244</v>
      </c>
      <c r="E230" s="297"/>
      <c r="F230" s="297"/>
      <c r="G230" s="297"/>
      <c r="H230" s="297"/>
      <c r="I230" s="297"/>
      <c r="J230" s="297"/>
      <c r="K230" s="297"/>
      <c r="L230" s="297"/>
      <c r="M230" s="298"/>
      <c r="N230" s="45" t="s">
        <v>243</v>
      </c>
    </row>
    <row r="231" spans="1:30" ht="16" thickBot="1">
      <c r="A231" s="9"/>
      <c r="B231" s="9"/>
      <c r="C231" s="9"/>
      <c r="D231" s="303" t="s">
        <v>675</v>
      </c>
      <c r="E231" s="304"/>
      <c r="F231" s="304"/>
      <c r="G231" s="304"/>
      <c r="H231" s="304"/>
      <c r="I231" s="304"/>
      <c r="J231" s="304"/>
      <c r="K231" s="304"/>
      <c r="L231" s="304"/>
      <c r="M231" s="304"/>
    </row>
    <row r="232" spans="1:30" ht="16.5" customHeight="1" thickBot="1">
      <c r="A232" s="9"/>
      <c r="B232" s="9"/>
      <c r="C232" s="9"/>
      <c r="D232" s="156" t="s">
        <v>247</v>
      </c>
      <c r="E232" s="159" t="str">
        <f>+'1 MNE Group Information'!H40</f>
        <v>Nord Stream AG (Stateless Permanent Establishment Sweden)</v>
      </c>
      <c r="F232" s="159"/>
      <c r="G232" s="159"/>
      <c r="H232" s="159"/>
      <c r="I232" s="159"/>
      <c r="J232" s="159"/>
      <c r="K232" s="159"/>
      <c r="L232" s="160"/>
      <c r="M232" s="157" t="s">
        <v>676</v>
      </c>
      <c r="N232" s="45" t="s">
        <v>245</v>
      </c>
      <c r="O232" s="45" t="s">
        <v>246</v>
      </c>
    </row>
    <row r="233" spans="1:30" ht="16.5" customHeight="1">
      <c r="A233" s="9"/>
      <c r="B233" s="9"/>
      <c r="C233" s="9"/>
      <c r="D233" s="153" t="s">
        <v>249</v>
      </c>
      <c r="E233" s="154">
        <f>+E271</f>
        <v>98765</v>
      </c>
      <c r="F233" s="154">
        <f t="shared" ref="F233:L233" si="3">+F271</f>
        <v>0</v>
      </c>
      <c r="G233" s="154">
        <f t="shared" si="3"/>
        <v>0</v>
      </c>
      <c r="H233" s="154">
        <f t="shared" si="3"/>
        <v>0</v>
      </c>
      <c r="I233" s="154">
        <f t="shared" si="3"/>
        <v>0</v>
      </c>
      <c r="J233" s="154">
        <f t="shared" si="3"/>
        <v>0</v>
      </c>
      <c r="K233" s="154">
        <f t="shared" si="3"/>
        <v>0</v>
      </c>
      <c r="L233" s="154">
        <f t="shared" si="3"/>
        <v>0</v>
      </c>
      <c r="M233" s="155">
        <f>SUM(E233:L233)</f>
        <v>98765</v>
      </c>
      <c r="N233" s="45" t="s">
        <v>19</v>
      </c>
      <c r="O233" s="45" t="s">
        <v>248</v>
      </c>
    </row>
    <row r="234" spans="1:30" ht="16.5" customHeight="1">
      <c r="A234" s="9"/>
      <c r="B234" s="9"/>
      <c r="C234" s="9"/>
      <c r="D234" s="300" t="s">
        <v>697</v>
      </c>
      <c r="E234" s="301"/>
      <c r="F234" s="301"/>
      <c r="G234" s="301"/>
      <c r="H234" s="301"/>
      <c r="I234" s="301"/>
      <c r="J234" s="301"/>
      <c r="K234" s="301"/>
      <c r="L234" s="301"/>
      <c r="M234" s="302"/>
      <c r="N234" s="45" t="s">
        <v>137</v>
      </c>
      <c r="O234" s="45"/>
    </row>
    <row r="235" spans="1:30" ht="84" customHeight="1">
      <c r="A235" s="9"/>
      <c r="B235" s="9"/>
      <c r="C235" s="9"/>
      <c r="D235" s="23" t="s">
        <v>484</v>
      </c>
      <c r="E235" s="42">
        <v>234567</v>
      </c>
      <c r="F235" s="42">
        <v>0</v>
      </c>
      <c r="G235" s="42">
        <v>0</v>
      </c>
      <c r="H235" s="42">
        <v>0</v>
      </c>
      <c r="I235" s="42">
        <v>0</v>
      </c>
      <c r="J235" s="42">
        <v>0</v>
      </c>
      <c r="K235" s="42">
        <v>0</v>
      </c>
      <c r="L235" s="42">
        <v>0</v>
      </c>
      <c r="M235" s="150">
        <f t="shared" ref="M235:M260" si="4">SUM(E235:L235)</f>
        <v>234567</v>
      </c>
      <c r="N235" s="45" t="s">
        <v>23</v>
      </c>
      <c r="O235" s="45" t="s">
        <v>677</v>
      </c>
      <c r="P235" s="289" t="s">
        <v>251</v>
      </c>
      <c r="Q235" s="290"/>
      <c r="R235" s="290"/>
      <c r="S235" s="290"/>
      <c r="T235" s="290"/>
      <c r="U235" s="290"/>
      <c r="V235" s="290"/>
      <c r="W235" s="290"/>
      <c r="X235" s="290"/>
      <c r="Y235" s="290"/>
      <c r="Z235" s="290"/>
      <c r="AA235" s="290"/>
      <c r="AB235" s="290"/>
      <c r="AC235" s="290"/>
      <c r="AD235" s="291"/>
    </row>
    <row r="236" spans="1:30" ht="31.5" customHeight="1">
      <c r="A236" s="9"/>
      <c r="B236" s="9"/>
      <c r="C236" s="9"/>
      <c r="D236" s="93" t="s">
        <v>485</v>
      </c>
      <c r="E236" s="42">
        <v>0</v>
      </c>
      <c r="F236" s="42">
        <v>0</v>
      </c>
      <c r="G236" s="42">
        <v>0</v>
      </c>
      <c r="H236" s="42">
        <v>0</v>
      </c>
      <c r="I236" s="42">
        <v>0</v>
      </c>
      <c r="J236" s="42">
        <v>0</v>
      </c>
      <c r="K236" s="42">
        <v>0</v>
      </c>
      <c r="L236" s="42">
        <v>0</v>
      </c>
      <c r="M236" s="150">
        <f t="shared" si="4"/>
        <v>0</v>
      </c>
      <c r="N236" s="45" t="s">
        <v>24</v>
      </c>
      <c r="O236" s="45" t="s">
        <v>678</v>
      </c>
      <c r="P236" s="289" t="s">
        <v>252</v>
      </c>
      <c r="Q236" s="290"/>
      <c r="R236" s="290"/>
      <c r="S236" s="290"/>
      <c r="T236" s="290"/>
      <c r="U236" s="290"/>
      <c r="V236" s="290"/>
      <c r="W236" s="290"/>
      <c r="X236" s="290"/>
      <c r="Y236" s="290"/>
      <c r="Z236" s="290"/>
      <c r="AA236" s="290"/>
      <c r="AB236" s="290"/>
      <c r="AC236" s="290"/>
      <c r="AD236" s="291"/>
    </row>
    <row r="237" spans="1:30" ht="34.5" customHeight="1">
      <c r="A237" s="9"/>
      <c r="B237" s="9"/>
      <c r="C237" s="9"/>
      <c r="D237" s="93" t="s">
        <v>486</v>
      </c>
      <c r="E237" s="42">
        <v>0</v>
      </c>
      <c r="F237" s="42">
        <v>0</v>
      </c>
      <c r="G237" s="42">
        <v>0</v>
      </c>
      <c r="H237" s="42">
        <v>0</v>
      </c>
      <c r="I237" s="42">
        <v>0</v>
      </c>
      <c r="J237" s="42">
        <v>0</v>
      </c>
      <c r="K237" s="42">
        <v>0</v>
      </c>
      <c r="L237" s="42">
        <v>0</v>
      </c>
      <c r="M237" s="150">
        <f t="shared" si="4"/>
        <v>0</v>
      </c>
      <c r="N237" s="45" t="s">
        <v>25</v>
      </c>
      <c r="O237" s="45" t="s">
        <v>679</v>
      </c>
      <c r="P237" s="289" t="s">
        <v>253</v>
      </c>
      <c r="Q237" s="290"/>
      <c r="R237" s="290"/>
      <c r="S237" s="290"/>
      <c r="T237" s="290"/>
      <c r="U237" s="290"/>
      <c r="V237" s="290"/>
      <c r="W237" s="290"/>
      <c r="X237" s="290"/>
      <c r="Y237" s="290"/>
      <c r="Z237" s="290"/>
      <c r="AA237" s="290"/>
      <c r="AB237" s="290"/>
      <c r="AC237" s="290"/>
      <c r="AD237" s="291"/>
    </row>
    <row r="238" spans="1:30" ht="16.5" customHeight="1">
      <c r="A238" s="9"/>
      <c r="B238" s="9"/>
      <c r="C238" s="9"/>
      <c r="D238" s="93" t="s">
        <v>487</v>
      </c>
      <c r="E238" s="42">
        <v>0</v>
      </c>
      <c r="F238" s="42">
        <v>0</v>
      </c>
      <c r="G238" s="42">
        <v>0</v>
      </c>
      <c r="H238" s="42">
        <v>0</v>
      </c>
      <c r="I238" s="42">
        <v>0</v>
      </c>
      <c r="J238" s="42">
        <v>0</v>
      </c>
      <c r="K238" s="42">
        <v>0</v>
      </c>
      <c r="L238" s="42">
        <v>0</v>
      </c>
      <c r="M238" s="150">
        <f t="shared" si="4"/>
        <v>0</v>
      </c>
      <c r="N238" s="45" t="s">
        <v>26</v>
      </c>
      <c r="O238" s="45" t="s">
        <v>680</v>
      </c>
      <c r="P238" s="289" t="s">
        <v>254</v>
      </c>
      <c r="Q238" s="290"/>
      <c r="R238" s="290"/>
      <c r="S238" s="290"/>
      <c r="T238" s="290"/>
      <c r="U238" s="290"/>
      <c r="V238" s="290"/>
      <c r="W238" s="290"/>
      <c r="X238" s="290"/>
      <c r="Y238" s="290"/>
      <c r="Z238" s="290"/>
      <c r="AA238" s="290"/>
      <c r="AB238" s="290"/>
      <c r="AC238" s="290"/>
      <c r="AD238" s="291"/>
    </row>
    <row r="239" spans="1:30" ht="36" customHeight="1">
      <c r="A239" s="9"/>
      <c r="B239" s="9"/>
      <c r="C239" s="9"/>
      <c r="D239" s="93" t="s">
        <v>488</v>
      </c>
      <c r="E239" s="42">
        <v>0</v>
      </c>
      <c r="F239" s="42">
        <v>0</v>
      </c>
      <c r="G239" s="42">
        <v>0</v>
      </c>
      <c r="H239" s="42">
        <v>0</v>
      </c>
      <c r="I239" s="42">
        <v>0</v>
      </c>
      <c r="J239" s="42">
        <v>0</v>
      </c>
      <c r="K239" s="42">
        <v>0</v>
      </c>
      <c r="L239" s="42">
        <v>0</v>
      </c>
      <c r="M239" s="150">
        <f t="shared" si="4"/>
        <v>0</v>
      </c>
      <c r="N239" s="45" t="s">
        <v>27</v>
      </c>
      <c r="O239" s="45" t="s">
        <v>255</v>
      </c>
      <c r="P239" s="289" t="s">
        <v>256</v>
      </c>
      <c r="Q239" s="290"/>
      <c r="R239" s="290"/>
      <c r="S239" s="290"/>
      <c r="T239" s="290"/>
      <c r="U239" s="290"/>
      <c r="V239" s="290"/>
      <c r="W239" s="290"/>
      <c r="X239" s="290"/>
      <c r="Y239" s="290"/>
      <c r="Z239" s="290"/>
      <c r="AA239" s="290"/>
      <c r="AB239" s="290"/>
      <c r="AC239" s="290"/>
      <c r="AD239" s="291"/>
    </row>
    <row r="240" spans="1:30" ht="36" customHeight="1">
      <c r="A240" s="9"/>
      <c r="B240" s="9"/>
      <c r="C240" s="9"/>
      <c r="D240" s="93" t="s">
        <v>489</v>
      </c>
      <c r="E240" s="42">
        <v>0</v>
      </c>
      <c r="F240" s="42">
        <v>0</v>
      </c>
      <c r="G240" s="42">
        <v>0</v>
      </c>
      <c r="H240" s="42">
        <v>0</v>
      </c>
      <c r="I240" s="42">
        <v>0</v>
      </c>
      <c r="J240" s="42">
        <v>0</v>
      </c>
      <c r="K240" s="42">
        <v>0</v>
      </c>
      <c r="L240" s="42">
        <v>0</v>
      </c>
      <c r="M240" s="150">
        <f t="shared" si="4"/>
        <v>0</v>
      </c>
      <c r="N240" s="45" t="s">
        <v>28</v>
      </c>
      <c r="O240" s="45" t="s">
        <v>681</v>
      </c>
      <c r="P240" s="289" t="s">
        <v>257</v>
      </c>
      <c r="Q240" s="290"/>
      <c r="R240" s="290"/>
      <c r="S240" s="290"/>
      <c r="T240" s="290"/>
      <c r="U240" s="290"/>
      <c r="V240" s="290"/>
      <c r="W240" s="290"/>
      <c r="X240" s="290"/>
      <c r="Y240" s="290"/>
      <c r="Z240" s="290"/>
      <c r="AA240" s="290"/>
      <c r="AB240" s="290"/>
      <c r="AC240" s="290"/>
      <c r="AD240" s="291"/>
    </row>
    <row r="241" spans="1:30" ht="101" customHeight="1">
      <c r="A241" s="9"/>
      <c r="B241" s="9"/>
      <c r="C241" s="9"/>
      <c r="D241" s="93" t="s">
        <v>490</v>
      </c>
      <c r="E241" s="42">
        <v>0</v>
      </c>
      <c r="F241" s="42">
        <v>0</v>
      </c>
      <c r="G241" s="42">
        <v>0</v>
      </c>
      <c r="H241" s="42">
        <v>0</v>
      </c>
      <c r="I241" s="42">
        <v>0</v>
      </c>
      <c r="J241" s="42">
        <v>0</v>
      </c>
      <c r="K241" s="42">
        <v>0</v>
      </c>
      <c r="L241" s="42">
        <v>0</v>
      </c>
      <c r="M241" s="150">
        <f t="shared" si="4"/>
        <v>0</v>
      </c>
      <c r="N241" s="45" t="s">
        <v>29</v>
      </c>
      <c r="O241" s="45" t="s">
        <v>682</v>
      </c>
      <c r="P241" s="289" t="s">
        <v>258</v>
      </c>
      <c r="Q241" s="290"/>
      <c r="R241" s="290"/>
      <c r="S241" s="290"/>
      <c r="T241" s="290"/>
      <c r="U241" s="290"/>
      <c r="V241" s="290"/>
      <c r="W241" s="290"/>
      <c r="X241" s="290"/>
      <c r="Y241" s="290"/>
      <c r="Z241" s="290"/>
      <c r="AA241" s="290"/>
      <c r="AB241" s="290"/>
      <c r="AC241" s="290"/>
      <c r="AD241" s="291"/>
    </row>
    <row r="242" spans="1:30" ht="16.5" customHeight="1">
      <c r="A242" s="9"/>
      <c r="B242" s="9"/>
      <c r="C242" s="9"/>
      <c r="D242" s="93" t="s">
        <v>491</v>
      </c>
      <c r="E242" s="42">
        <v>0</v>
      </c>
      <c r="F242" s="42">
        <v>0</v>
      </c>
      <c r="G242" s="42">
        <v>0</v>
      </c>
      <c r="H242" s="42">
        <v>0</v>
      </c>
      <c r="I242" s="42">
        <v>0</v>
      </c>
      <c r="J242" s="42">
        <v>0</v>
      </c>
      <c r="K242" s="42">
        <v>0</v>
      </c>
      <c r="L242" s="42">
        <v>0</v>
      </c>
      <c r="M242" s="150">
        <f t="shared" si="4"/>
        <v>0</v>
      </c>
      <c r="N242" s="45" t="s">
        <v>30</v>
      </c>
      <c r="O242" s="45" t="s">
        <v>683</v>
      </c>
      <c r="P242" s="289" t="s">
        <v>259</v>
      </c>
      <c r="Q242" s="290"/>
      <c r="R242" s="290"/>
      <c r="S242" s="290"/>
      <c r="T242" s="290"/>
      <c r="U242" s="290"/>
      <c r="V242" s="290"/>
      <c r="W242" s="290"/>
      <c r="X242" s="290"/>
      <c r="Y242" s="290"/>
      <c r="Z242" s="290"/>
      <c r="AA242" s="290"/>
      <c r="AB242" s="290"/>
      <c r="AC242" s="290"/>
      <c r="AD242" s="291"/>
    </row>
    <row r="243" spans="1:30" ht="16.5" customHeight="1">
      <c r="A243" s="9"/>
      <c r="B243" s="9"/>
      <c r="C243" s="9"/>
      <c r="D243" s="93" t="s">
        <v>492</v>
      </c>
      <c r="E243" s="42">
        <v>0</v>
      </c>
      <c r="F243" s="42">
        <v>0</v>
      </c>
      <c r="G243" s="42">
        <v>0</v>
      </c>
      <c r="H243" s="42">
        <v>0</v>
      </c>
      <c r="I243" s="42">
        <v>0</v>
      </c>
      <c r="J243" s="42">
        <v>0</v>
      </c>
      <c r="K243" s="42">
        <v>0</v>
      </c>
      <c r="L243" s="42">
        <v>0</v>
      </c>
      <c r="M243" s="150">
        <f t="shared" si="4"/>
        <v>0</v>
      </c>
      <c r="N243" s="45" t="s">
        <v>31</v>
      </c>
      <c r="O243" s="45" t="s">
        <v>684</v>
      </c>
      <c r="P243" s="289" t="s">
        <v>260</v>
      </c>
      <c r="Q243" s="290"/>
      <c r="R243" s="290"/>
      <c r="S243" s="290"/>
      <c r="T243" s="290"/>
      <c r="U243" s="290"/>
      <c r="V243" s="290"/>
      <c r="W243" s="290"/>
      <c r="X243" s="290"/>
      <c r="Y243" s="290"/>
      <c r="Z243" s="290"/>
      <c r="AA243" s="290"/>
      <c r="AB243" s="290"/>
      <c r="AC243" s="290"/>
      <c r="AD243" s="291"/>
    </row>
    <row r="244" spans="1:30" ht="29.5" customHeight="1">
      <c r="A244" s="9"/>
      <c r="B244" s="9"/>
      <c r="C244" s="9"/>
      <c r="D244" s="93" t="s">
        <v>493</v>
      </c>
      <c r="E244" s="42">
        <v>0</v>
      </c>
      <c r="F244" s="42">
        <v>0</v>
      </c>
      <c r="G244" s="42">
        <v>0</v>
      </c>
      <c r="H244" s="42">
        <v>0</v>
      </c>
      <c r="I244" s="42">
        <v>0</v>
      </c>
      <c r="J244" s="42">
        <v>0</v>
      </c>
      <c r="K244" s="42">
        <v>0</v>
      </c>
      <c r="L244" s="42">
        <v>0</v>
      </c>
      <c r="M244" s="150">
        <f t="shared" si="4"/>
        <v>0</v>
      </c>
      <c r="N244" s="45" t="s">
        <v>32</v>
      </c>
      <c r="O244" s="45" t="s">
        <v>685</v>
      </c>
      <c r="P244" s="289" t="s">
        <v>261</v>
      </c>
      <c r="Q244" s="290"/>
      <c r="R244" s="290"/>
      <c r="S244" s="290"/>
      <c r="T244" s="290"/>
      <c r="U244" s="290"/>
      <c r="V244" s="290"/>
      <c r="W244" s="290"/>
      <c r="X244" s="290"/>
      <c r="Y244" s="290"/>
      <c r="Z244" s="290"/>
      <c r="AA244" s="290"/>
      <c r="AB244" s="290"/>
      <c r="AC244" s="290"/>
      <c r="AD244" s="291"/>
    </row>
    <row r="245" spans="1:30" ht="33.5" customHeight="1">
      <c r="A245" s="9"/>
      <c r="B245" s="9"/>
      <c r="C245" s="9"/>
      <c r="D245" s="93" t="s">
        <v>494</v>
      </c>
      <c r="E245" s="42">
        <v>0</v>
      </c>
      <c r="F245" s="42">
        <v>0</v>
      </c>
      <c r="G245" s="42">
        <v>0</v>
      </c>
      <c r="H245" s="42">
        <v>0</v>
      </c>
      <c r="I245" s="42">
        <v>0</v>
      </c>
      <c r="J245" s="42">
        <v>0</v>
      </c>
      <c r="K245" s="42">
        <v>0</v>
      </c>
      <c r="L245" s="42">
        <v>0</v>
      </c>
      <c r="M245" s="150">
        <f t="shared" si="4"/>
        <v>0</v>
      </c>
      <c r="N245" s="45" t="s">
        <v>33</v>
      </c>
      <c r="O245" s="45" t="s">
        <v>686</v>
      </c>
      <c r="P245" s="289" t="s">
        <v>262</v>
      </c>
      <c r="Q245" s="290"/>
      <c r="R245" s="290"/>
      <c r="S245" s="290"/>
      <c r="T245" s="290"/>
      <c r="U245" s="290"/>
      <c r="V245" s="290"/>
      <c r="W245" s="290"/>
      <c r="X245" s="290"/>
      <c r="Y245" s="290"/>
      <c r="Z245" s="290"/>
      <c r="AA245" s="290"/>
      <c r="AB245" s="290"/>
      <c r="AC245" s="290"/>
      <c r="AD245" s="291"/>
    </row>
    <row r="246" spans="1:30" ht="16.5" customHeight="1">
      <c r="A246" s="9"/>
      <c r="B246" s="9"/>
      <c r="C246" s="9"/>
      <c r="D246" s="93" t="s">
        <v>496</v>
      </c>
      <c r="E246" s="42">
        <v>0</v>
      </c>
      <c r="F246" s="42">
        <v>0</v>
      </c>
      <c r="G246" s="42">
        <v>0</v>
      </c>
      <c r="H246" s="42">
        <v>0</v>
      </c>
      <c r="I246" s="42">
        <v>0</v>
      </c>
      <c r="J246" s="42">
        <v>0</v>
      </c>
      <c r="K246" s="42">
        <v>0</v>
      </c>
      <c r="L246" s="42">
        <v>0</v>
      </c>
      <c r="M246" s="150">
        <f t="shared" si="4"/>
        <v>0</v>
      </c>
      <c r="N246" s="45" t="s">
        <v>34</v>
      </c>
      <c r="O246" s="45" t="s">
        <v>687</v>
      </c>
      <c r="P246" s="14"/>
    </row>
    <row r="247" spans="1:30" ht="16.5" customHeight="1">
      <c r="A247" s="9"/>
      <c r="B247" s="9"/>
      <c r="C247" s="9"/>
      <c r="D247" s="93" t="s">
        <v>495</v>
      </c>
      <c r="E247" s="42">
        <v>0</v>
      </c>
      <c r="F247" s="42">
        <v>0</v>
      </c>
      <c r="G247" s="42">
        <v>0</v>
      </c>
      <c r="H247" s="42">
        <v>0</v>
      </c>
      <c r="I247" s="42">
        <v>0</v>
      </c>
      <c r="J247" s="42">
        <v>0</v>
      </c>
      <c r="K247" s="42">
        <v>0</v>
      </c>
      <c r="L247" s="42">
        <v>0</v>
      </c>
      <c r="M247" s="150">
        <f t="shared" si="4"/>
        <v>0</v>
      </c>
      <c r="N247" s="45" t="s">
        <v>35</v>
      </c>
      <c r="O247" s="45" t="s">
        <v>264</v>
      </c>
      <c r="P247" s="289" t="s">
        <v>265</v>
      </c>
      <c r="Q247" s="290"/>
      <c r="R247" s="290"/>
      <c r="S247" s="290"/>
      <c r="T247" s="290"/>
      <c r="U247" s="290"/>
      <c r="V247" s="290"/>
      <c r="W247" s="290"/>
      <c r="X247" s="290"/>
      <c r="Y247" s="290"/>
      <c r="Z247" s="290"/>
      <c r="AA247" s="290"/>
      <c r="AB247" s="290"/>
      <c r="AC247" s="290"/>
      <c r="AD247" s="291"/>
    </row>
    <row r="248" spans="1:30" ht="33" customHeight="1">
      <c r="A248" s="9"/>
      <c r="B248" s="9"/>
      <c r="C248" s="9"/>
      <c r="D248" s="93" t="s">
        <v>698</v>
      </c>
      <c r="E248" s="42">
        <v>0</v>
      </c>
      <c r="F248" s="42">
        <v>0</v>
      </c>
      <c r="G248" s="42">
        <v>0</v>
      </c>
      <c r="H248" s="42">
        <v>0</v>
      </c>
      <c r="I248" s="42">
        <v>0</v>
      </c>
      <c r="J248" s="42">
        <v>0</v>
      </c>
      <c r="K248" s="42">
        <v>0</v>
      </c>
      <c r="L248" s="42">
        <v>0</v>
      </c>
      <c r="M248" s="150">
        <f t="shared" si="4"/>
        <v>0</v>
      </c>
      <c r="N248" s="45" t="s">
        <v>36</v>
      </c>
      <c r="O248" s="45" t="s">
        <v>266</v>
      </c>
      <c r="P248" s="289" t="s">
        <v>267</v>
      </c>
      <c r="Q248" s="290"/>
      <c r="R248" s="290"/>
      <c r="S248" s="290"/>
      <c r="T248" s="290"/>
      <c r="U248" s="290"/>
      <c r="V248" s="290"/>
      <c r="W248" s="290"/>
      <c r="X248" s="290"/>
      <c r="Y248" s="290"/>
      <c r="Z248" s="290"/>
      <c r="AA248" s="290"/>
      <c r="AB248" s="290"/>
      <c r="AC248" s="290"/>
      <c r="AD248" s="291"/>
    </row>
    <row r="249" spans="1:30" ht="16.5" customHeight="1">
      <c r="A249" s="9"/>
      <c r="B249" s="9"/>
      <c r="C249" s="9"/>
      <c r="D249" s="93" t="s">
        <v>498</v>
      </c>
      <c r="E249" s="42">
        <v>0</v>
      </c>
      <c r="F249" s="42">
        <v>0</v>
      </c>
      <c r="G249" s="42">
        <v>0</v>
      </c>
      <c r="H249" s="42">
        <v>0</v>
      </c>
      <c r="I249" s="42">
        <v>0</v>
      </c>
      <c r="J249" s="42">
        <v>0</v>
      </c>
      <c r="K249" s="42">
        <v>0</v>
      </c>
      <c r="L249" s="42">
        <v>0</v>
      </c>
      <c r="M249" s="150">
        <f t="shared" si="4"/>
        <v>0</v>
      </c>
      <c r="N249" s="45" t="s">
        <v>37</v>
      </c>
      <c r="O249" s="45" t="s">
        <v>688</v>
      </c>
      <c r="P249" s="14"/>
    </row>
    <row r="250" spans="1:30" ht="16.5" customHeight="1">
      <c r="A250" s="9"/>
      <c r="B250" s="9"/>
      <c r="C250" s="9"/>
      <c r="D250" s="93" t="s">
        <v>499</v>
      </c>
      <c r="E250" s="42">
        <v>0</v>
      </c>
      <c r="F250" s="42">
        <v>0</v>
      </c>
      <c r="G250" s="42">
        <v>0</v>
      </c>
      <c r="H250" s="42">
        <v>0</v>
      </c>
      <c r="I250" s="42">
        <v>0</v>
      </c>
      <c r="J250" s="42">
        <v>0</v>
      </c>
      <c r="K250" s="42">
        <v>0</v>
      </c>
      <c r="L250" s="42">
        <v>0</v>
      </c>
      <c r="M250" s="150">
        <f t="shared" si="4"/>
        <v>0</v>
      </c>
      <c r="N250" s="45" t="s">
        <v>38</v>
      </c>
      <c r="O250" s="45" t="s">
        <v>689</v>
      </c>
      <c r="P250" s="14"/>
    </row>
    <row r="251" spans="1:30" ht="36" customHeight="1">
      <c r="A251" s="9"/>
      <c r="B251" s="9"/>
      <c r="C251" s="9"/>
      <c r="D251" s="93" t="s">
        <v>500</v>
      </c>
      <c r="E251" s="42">
        <v>0</v>
      </c>
      <c r="F251" s="42">
        <v>0</v>
      </c>
      <c r="G251" s="42">
        <v>0</v>
      </c>
      <c r="H251" s="42">
        <v>0</v>
      </c>
      <c r="I251" s="42">
        <v>0</v>
      </c>
      <c r="J251" s="42">
        <v>0</v>
      </c>
      <c r="K251" s="42">
        <v>0</v>
      </c>
      <c r="L251" s="42">
        <v>0</v>
      </c>
      <c r="M251" s="150">
        <f t="shared" si="4"/>
        <v>0</v>
      </c>
      <c r="N251" s="45" t="s">
        <v>39</v>
      </c>
      <c r="O251" s="45" t="s">
        <v>690</v>
      </c>
      <c r="P251" s="289" t="s">
        <v>268</v>
      </c>
      <c r="Q251" s="290"/>
      <c r="R251" s="290"/>
      <c r="S251" s="290"/>
      <c r="T251" s="290"/>
      <c r="U251" s="290"/>
      <c r="V251" s="290"/>
      <c r="W251" s="290"/>
      <c r="X251" s="290"/>
      <c r="Y251" s="290"/>
      <c r="Z251" s="290"/>
      <c r="AA251" s="290"/>
      <c r="AB251" s="290"/>
      <c r="AC251" s="290"/>
      <c r="AD251" s="291"/>
    </row>
    <row r="252" spans="1:30" ht="30" customHeight="1">
      <c r="A252" s="9"/>
      <c r="B252" s="9"/>
      <c r="C252" s="9"/>
      <c r="D252" s="93" t="s">
        <v>501</v>
      </c>
      <c r="E252" s="42">
        <v>0</v>
      </c>
      <c r="F252" s="42">
        <v>0</v>
      </c>
      <c r="G252" s="42">
        <v>0</v>
      </c>
      <c r="H252" s="42">
        <v>0</v>
      </c>
      <c r="I252" s="42">
        <v>0</v>
      </c>
      <c r="J252" s="42">
        <v>0</v>
      </c>
      <c r="K252" s="42">
        <v>0</v>
      </c>
      <c r="L252" s="42">
        <v>0</v>
      </c>
      <c r="M252" s="150">
        <f t="shared" si="4"/>
        <v>0</v>
      </c>
      <c r="N252" s="45" t="s">
        <v>40</v>
      </c>
      <c r="O252" s="45" t="s">
        <v>691</v>
      </c>
      <c r="P252" s="289" t="s">
        <v>269</v>
      </c>
      <c r="Q252" s="290"/>
      <c r="R252" s="290"/>
      <c r="S252" s="290"/>
      <c r="T252" s="290"/>
      <c r="U252" s="290"/>
      <c r="V252" s="290"/>
      <c r="W252" s="290"/>
      <c r="X252" s="290"/>
      <c r="Y252" s="290"/>
      <c r="Z252" s="290"/>
      <c r="AA252" s="290"/>
      <c r="AB252" s="290"/>
      <c r="AC252" s="290"/>
      <c r="AD252" s="291"/>
    </row>
    <row r="253" spans="1:30" ht="16.5" customHeight="1">
      <c r="A253" s="9"/>
      <c r="B253" s="9"/>
      <c r="C253" s="9"/>
      <c r="D253" s="93" t="s">
        <v>502</v>
      </c>
      <c r="E253" s="42">
        <v>0</v>
      </c>
      <c r="F253" s="42">
        <v>0</v>
      </c>
      <c r="G253" s="42">
        <v>0</v>
      </c>
      <c r="H253" s="42">
        <v>0</v>
      </c>
      <c r="I253" s="42">
        <v>0</v>
      </c>
      <c r="J253" s="42">
        <v>0</v>
      </c>
      <c r="K253" s="42">
        <v>0</v>
      </c>
      <c r="L253" s="42">
        <v>0</v>
      </c>
      <c r="M253" s="150">
        <f t="shared" si="4"/>
        <v>0</v>
      </c>
      <c r="N253" s="45" t="s">
        <v>41</v>
      </c>
      <c r="O253" s="45" t="s">
        <v>692</v>
      </c>
      <c r="P253" s="289" t="s">
        <v>270</v>
      </c>
      <c r="Q253" s="290"/>
      <c r="R253" s="290"/>
      <c r="S253" s="290"/>
      <c r="T253" s="290"/>
      <c r="U253" s="290"/>
      <c r="V253" s="290"/>
      <c r="W253" s="290"/>
      <c r="X253" s="290"/>
      <c r="Y253" s="290"/>
      <c r="Z253" s="290"/>
      <c r="AA253" s="290"/>
      <c r="AB253" s="290"/>
      <c r="AC253" s="290"/>
      <c r="AD253" s="291"/>
    </row>
    <row r="254" spans="1:30" ht="31" customHeight="1">
      <c r="A254" s="9"/>
      <c r="B254" s="9"/>
      <c r="C254" s="9"/>
      <c r="D254" s="141" t="s">
        <v>503</v>
      </c>
      <c r="E254" s="42">
        <v>0</v>
      </c>
      <c r="F254" s="42">
        <v>0</v>
      </c>
      <c r="G254" s="42">
        <v>0</v>
      </c>
      <c r="H254" s="42">
        <v>0</v>
      </c>
      <c r="I254" s="42">
        <v>0</v>
      </c>
      <c r="J254" s="42">
        <v>0</v>
      </c>
      <c r="K254" s="42">
        <v>0</v>
      </c>
      <c r="L254" s="42">
        <v>0</v>
      </c>
      <c r="M254" s="150">
        <f t="shared" si="4"/>
        <v>0</v>
      </c>
      <c r="N254" s="45" t="s">
        <v>42</v>
      </c>
      <c r="O254" s="45" t="s">
        <v>693</v>
      </c>
      <c r="P254" s="289" t="s">
        <v>271</v>
      </c>
      <c r="Q254" s="290"/>
      <c r="R254" s="290"/>
      <c r="S254" s="290"/>
      <c r="T254" s="290"/>
      <c r="U254" s="290"/>
      <c r="V254" s="290"/>
      <c r="W254" s="290"/>
      <c r="X254" s="290"/>
      <c r="Y254" s="290"/>
      <c r="Z254" s="290"/>
      <c r="AA254" s="290"/>
      <c r="AB254" s="290"/>
      <c r="AC254" s="290"/>
      <c r="AD254" s="291"/>
    </row>
    <row r="255" spans="1:30" ht="33.5" customHeight="1">
      <c r="A255" s="9"/>
      <c r="B255" s="9"/>
      <c r="C255" s="9"/>
      <c r="D255" s="93" t="s">
        <v>504</v>
      </c>
      <c r="E255" s="42">
        <v>0</v>
      </c>
      <c r="F255" s="42">
        <v>0</v>
      </c>
      <c r="G255" s="42">
        <v>0</v>
      </c>
      <c r="H255" s="42">
        <v>0</v>
      </c>
      <c r="I255" s="42">
        <v>0</v>
      </c>
      <c r="J255" s="42">
        <v>0</v>
      </c>
      <c r="K255" s="42">
        <v>0</v>
      </c>
      <c r="L255" s="42">
        <v>0</v>
      </c>
      <c r="M255" s="150">
        <f t="shared" si="4"/>
        <v>0</v>
      </c>
      <c r="N255" s="45" t="s">
        <v>43</v>
      </c>
      <c r="O255" s="45" t="s">
        <v>272</v>
      </c>
      <c r="P255" s="289" t="s">
        <v>273</v>
      </c>
      <c r="Q255" s="290"/>
      <c r="R255" s="290"/>
      <c r="S255" s="290"/>
      <c r="T255" s="290"/>
      <c r="U255" s="290"/>
      <c r="V255" s="290"/>
      <c r="W255" s="290"/>
      <c r="X255" s="290"/>
      <c r="Y255" s="290"/>
      <c r="Z255" s="290"/>
      <c r="AA255" s="290"/>
      <c r="AB255" s="290"/>
      <c r="AC255" s="290"/>
      <c r="AD255" s="291"/>
    </row>
    <row r="256" spans="1:30" ht="16.5" customHeight="1">
      <c r="A256" s="9"/>
      <c r="B256" s="9"/>
      <c r="C256" s="9"/>
      <c r="D256" s="93" t="s">
        <v>505</v>
      </c>
      <c r="E256" s="42">
        <v>0</v>
      </c>
      <c r="F256" s="42">
        <v>0</v>
      </c>
      <c r="G256" s="42">
        <v>0</v>
      </c>
      <c r="H256" s="42">
        <v>0</v>
      </c>
      <c r="I256" s="42">
        <v>0</v>
      </c>
      <c r="J256" s="42">
        <v>0</v>
      </c>
      <c r="K256" s="42">
        <v>0</v>
      </c>
      <c r="L256" s="42">
        <v>0</v>
      </c>
      <c r="M256" s="150">
        <f t="shared" si="4"/>
        <v>0</v>
      </c>
      <c r="N256" s="45" t="s">
        <v>44</v>
      </c>
      <c r="O256" s="45" t="s">
        <v>274</v>
      </c>
      <c r="P256" s="14"/>
    </row>
    <row r="257" spans="1:30" ht="30.5" customHeight="1">
      <c r="A257" s="9"/>
      <c r="B257" s="9"/>
      <c r="C257" s="9"/>
      <c r="D257" s="93" t="s">
        <v>506</v>
      </c>
      <c r="E257" s="42">
        <v>0</v>
      </c>
      <c r="F257" s="42">
        <v>0</v>
      </c>
      <c r="G257" s="42">
        <v>0</v>
      </c>
      <c r="H257" s="42">
        <v>0</v>
      </c>
      <c r="I257" s="42">
        <v>0</v>
      </c>
      <c r="J257" s="42">
        <v>0</v>
      </c>
      <c r="K257" s="42">
        <v>0</v>
      </c>
      <c r="L257" s="42">
        <v>0</v>
      </c>
      <c r="M257" s="150">
        <f>SUM(E257:L257)</f>
        <v>0</v>
      </c>
      <c r="N257" s="45" t="s">
        <v>45</v>
      </c>
      <c r="O257" s="45" t="s">
        <v>694</v>
      </c>
      <c r="P257" s="289" t="s">
        <v>275</v>
      </c>
      <c r="Q257" s="290"/>
      <c r="R257" s="290"/>
      <c r="S257" s="290"/>
      <c r="T257" s="290"/>
      <c r="U257" s="290"/>
      <c r="V257" s="290"/>
      <c r="W257" s="290"/>
      <c r="X257" s="290"/>
      <c r="Y257" s="290"/>
      <c r="Z257" s="290"/>
      <c r="AA257" s="290"/>
      <c r="AB257" s="290"/>
      <c r="AC257" s="290"/>
      <c r="AD257" s="291"/>
    </row>
    <row r="258" spans="1:30" ht="65" customHeight="1">
      <c r="A258" s="9"/>
      <c r="B258" s="9"/>
      <c r="C258" s="9"/>
      <c r="D258" s="93" t="s">
        <v>507</v>
      </c>
      <c r="E258" s="42">
        <v>0</v>
      </c>
      <c r="F258" s="42">
        <v>0</v>
      </c>
      <c r="G258" s="42">
        <v>0</v>
      </c>
      <c r="H258" s="42">
        <v>0</v>
      </c>
      <c r="I258" s="42">
        <v>0</v>
      </c>
      <c r="J258" s="42">
        <v>0</v>
      </c>
      <c r="K258" s="42">
        <v>0</v>
      </c>
      <c r="L258" s="42">
        <v>0</v>
      </c>
      <c r="M258" s="150">
        <f t="shared" si="4"/>
        <v>0</v>
      </c>
      <c r="N258" s="45" t="s">
        <v>46</v>
      </c>
      <c r="O258" s="45" t="s">
        <v>695</v>
      </c>
      <c r="P258" s="289" t="s">
        <v>276</v>
      </c>
      <c r="Q258" s="290"/>
      <c r="R258" s="290"/>
      <c r="S258" s="290"/>
      <c r="T258" s="290"/>
      <c r="U258" s="290"/>
      <c r="V258" s="290"/>
      <c r="W258" s="290"/>
      <c r="X258" s="290"/>
      <c r="Y258" s="290"/>
      <c r="Z258" s="290"/>
      <c r="AA258" s="290"/>
      <c r="AB258" s="290"/>
      <c r="AC258" s="290"/>
      <c r="AD258" s="291"/>
    </row>
    <row r="259" spans="1:30" ht="16.5" customHeight="1">
      <c r="A259" s="9"/>
      <c r="B259" s="9"/>
      <c r="C259" s="9"/>
      <c r="D259" s="93" t="s">
        <v>699</v>
      </c>
      <c r="E259" s="42">
        <v>0</v>
      </c>
      <c r="F259" s="42">
        <v>0</v>
      </c>
      <c r="G259" s="42">
        <v>0</v>
      </c>
      <c r="H259" s="42">
        <v>0</v>
      </c>
      <c r="I259" s="42">
        <v>0</v>
      </c>
      <c r="J259" s="42">
        <v>0</v>
      </c>
      <c r="K259" s="42">
        <v>0</v>
      </c>
      <c r="L259" s="42">
        <v>0</v>
      </c>
      <c r="M259" s="150">
        <f t="shared" si="4"/>
        <v>0</v>
      </c>
      <c r="N259" s="45" t="s">
        <v>47</v>
      </c>
      <c r="O259" s="45" t="s">
        <v>696</v>
      </c>
      <c r="P259" s="289" t="s">
        <v>277</v>
      </c>
      <c r="Q259" s="290"/>
      <c r="R259" s="290"/>
      <c r="S259" s="290"/>
      <c r="T259" s="290"/>
      <c r="U259" s="290"/>
      <c r="V259" s="290"/>
      <c r="W259" s="290"/>
      <c r="X259" s="290"/>
      <c r="Y259" s="290"/>
      <c r="Z259" s="290"/>
      <c r="AA259" s="290"/>
      <c r="AB259" s="290"/>
      <c r="AC259" s="290"/>
      <c r="AD259" s="291"/>
    </row>
    <row r="260" spans="1:30" ht="80.5" customHeight="1">
      <c r="A260" s="9"/>
      <c r="B260" s="9"/>
      <c r="C260" s="9"/>
      <c r="D260" s="93" t="s">
        <v>509</v>
      </c>
      <c r="E260" s="42">
        <v>0</v>
      </c>
      <c r="F260" s="42">
        <v>0</v>
      </c>
      <c r="G260" s="42">
        <v>0</v>
      </c>
      <c r="H260" s="42">
        <v>0</v>
      </c>
      <c r="I260" s="42">
        <v>0</v>
      </c>
      <c r="J260" s="42">
        <v>0</v>
      </c>
      <c r="K260" s="42">
        <v>0</v>
      </c>
      <c r="L260" s="42">
        <v>0</v>
      </c>
      <c r="M260" s="150">
        <f t="shared" si="4"/>
        <v>0</v>
      </c>
      <c r="N260" s="45" t="s">
        <v>48</v>
      </c>
      <c r="O260" s="45" t="s">
        <v>278</v>
      </c>
      <c r="P260" s="289" t="s">
        <v>279</v>
      </c>
      <c r="Q260" s="290"/>
      <c r="R260" s="290"/>
      <c r="S260" s="290"/>
      <c r="T260" s="290"/>
      <c r="U260" s="290"/>
      <c r="V260" s="290"/>
      <c r="W260" s="290"/>
      <c r="X260" s="290"/>
      <c r="Y260" s="290"/>
      <c r="Z260" s="290"/>
      <c r="AA260" s="290"/>
      <c r="AB260" s="290"/>
      <c r="AC260" s="290"/>
      <c r="AD260" s="291"/>
    </row>
    <row r="261" spans="1:30" ht="16.5" customHeight="1" thickBot="1">
      <c r="A261" s="9"/>
      <c r="B261" s="9"/>
      <c r="C261" s="9"/>
      <c r="D261" s="158" t="s">
        <v>281</v>
      </c>
      <c r="E261" s="151">
        <f>E233+SUM(E235:E260)</f>
        <v>333332</v>
      </c>
      <c r="F261" s="151">
        <f t="shared" ref="F261:M261" si="5">F233+SUM(F235:F260)</f>
        <v>0</v>
      </c>
      <c r="G261" s="151">
        <f t="shared" si="5"/>
        <v>0</v>
      </c>
      <c r="H261" s="151">
        <f t="shared" si="5"/>
        <v>0</v>
      </c>
      <c r="I261" s="151">
        <f t="shared" si="5"/>
        <v>0</v>
      </c>
      <c r="J261" s="151">
        <f t="shared" si="5"/>
        <v>0</v>
      </c>
      <c r="K261" s="151">
        <f t="shared" si="5"/>
        <v>0</v>
      </c>
      <c r="L261" s="151">
        <f t="shared" si="5"/>
        <v>0</v>
      </c>
      <c r="M261" s="152">
        <f t="shared" si="5"/>
        <v>333332</v>
      </c>
      <c r="N261" s="45" t="s">
        <v>10</v>
      </c>
      <c r="O261" s="45" t="s">
        <v>280</v>
      </c>
    </row>
    <row r="262" spans="1:30" ht="16.5" customHeight="1" thickBot="1">
      <c r="A262" s="9"/>
      <c r="B262" s="9"/>
      <c r="C262" s="9"/>
      <c r="L262" s="7"/>
      <c r="M262" s="7"/>
      <c r="N262" s="7"/>
    </row>
    <row r="263" spans="1:30" ht="16" thickBot="1">
      <c r="A263" s="9"/>
      <c r="B263" s="9"/>
      <c r="C263" s="9"/>
      <c r="D263" s="303" t="s">
        <v>284</v>
      </c>
      <c r="E263" s="304" t="s">
        <v>102</v>
      </c>
      <c r="F263" s="304"/>
      <c r="G263" s="304"/>
      <c r="H263" s="304"/>
      <c r="I263" s="304"/>
      <c r="J263" s="304"/>
      <c r="K263" s="304"/>
      <c r="L263" s="304"/>
      <c r="M263" s="305"/>
      <c r="N263" s="45" t="s">
        <v>282</v>
      </c>
      <c r="O263" s="45" t="s">
        <v>283</v>
      </c>
    </row>
    <row r="264" spans="1:30" ht="16.5" customHeight="1">
      <c r="A264" s="9"/>
      <c r="B264" s="9"/>
      <c r="C264" s="9"/>
      <c r="D264" s="165" t="s">
        <v>286</v>
      </c>
      <c r="E264" s="166" t="str">
        <f>+E232</f>
        <v>Nord Stream AG (Stateless Permanent Establishment Sweden)</v>
      </c>
      <c r="F264" s="166">
        <f t="shared" ref="F264:L264" si="6">+F232</f>
        <v>0</v>
      </c>
      <c r="G264" s="166">
        <f t="shared" si="6"/>
        <v>0</v>
      </c>
      <c r="H264" s="166">
        <f t="shared" si="6"/>
        <v>0</v>
      </c>
      <c r="I264" s="166">
        <f t="shared" si="6"/>
        <v>0</v>
      </c>
      <c r="J264" s="166">
        <f t="shared" si="6"/>
        <v>0</v>
      </c>
      <c r="K264" s="166">
        <f t="shared" si="6"/>
        <v>0</v>
      </c>
      <c r="L264" s="166">
        <f t="shared" si="6"/>
        <v>0</v>
      </c>
      <c r="M264" s="167" t="str">
        <f>+M232</f>
        <v>Total amount</v>
      </c>
      <c r="N264" s="45" t="s">
        <v>245</v>
      </c>
      <c r="O264" s="45" t="s">
        <v>285</v>
      </c>
    </row>
    <row r="265" spans="1:30" ht="48" customHeight="1">
      <c r="A265" s="9"/>
      <c r="B265" s="9"/>
      <c r="C265" s="9"/>
      <c r="D265" s="161" t="s">
        <v>700</v>
      </c>
      <c r="E265" s="42">
        <v>98765</v>
      </c>
      <c r="F265" s="42">
        <v>0</v>
      </c>
      <c r="G265" s="42">
        <v>0</v>
      </c>
      <c r="H265" s="42">
        <v>0</v>
      </c>
      <c r="I265" s="42">
        <v>0</v>
      </c>
      <c r="J265" s="42">
        <v>0</v>
      </c>
      <c r="K265" s="42">
        <v>0</v>
      </c>
      <c r="L265" s="42">
        <v>0</v>
      </c>
      <c r="M265" s="150">
        <f>SUM(E265:L265)</f>
        <v>98765</v>
      </c>
      <c r="N265" s="45" t="s">
        <v>7</v>
      </c>
      <c r="O265" s="45" t="s">
        <v>287</v>
      </c>
      <c r="P265" s="289" t="s">
        <v>288</v>
      </c>
      <c r="Q265" s="290"/>
      <c r="R265" s="290"/>
      <c r="S265" s="290"/>
      <c r="T265" s="290"/>
      <c r="U265" s="290"/>
      <c r="V265" s="290"/>
      <c r="W265" s="290"/>
      <c r="X265" s="290"/>
      <c r="Y265" s="290"/>
      <c r="Z265" s="290"/>
      <c r="AA265" s="290"/>
      <c r="AB265" s="290"/>
      <c r="AC265" s="290"/>
      <c r="AD265" s="291"/>
    </row>
    <row r="266" spans="1:30" ht="16.5" customHeight="1">
      <c r="A266" s="9"/>
      <c r="B266" s="9"/>
      <c r="C266" s="9"/>
      <c r="D266" s="161" t="s">
        <v>710</v>
      </c>
      <c r="E266" s="42">
        <v>0</v>
      </c>
      <c r="F266" s="42">
        <v>0</v>
      </c>
      <c r="G266" s="42">
        <v>0</v>
      </c>
      <c r="H266" s="42">
        <v>0</v>
      </c>
      <c r="I266" s="42">
        <v>0</v>
      </c>
      <c r="J266" s="42">
        <v>0</v>
      </c>
      <c r="K266" s="42">
        <v>0</v>
      </c>
      <c r="L266" s="42">
        <v>0</v>
      </c>
      <c r="M266" s="150"/>
      <c r="N266" s="45" t="s">
        <v>289</v>
      </c>
      <c r="O266" s="45" t="s">
        <v>290</v>
      </c>
    </row>
    <row r="267" spans="1:30" ht="16.5" customHeight="1">
      <c r="A267" s="9"/>
      <c r="B267" s="9"/>
      <c r="C267" s="9"/>
      <c r="D267" s="161" t="s">
        <v>701</v>
      </c>
      <c r="E267" s="42" t="s">
        <v>714</v>
      </c>
      <c r="F267" s="42" t="s">
        <v>714</v>
      </c>
      <c r="G267" s="42" t="s">
        <v>714</v>
      </c>
      <c r="H267" s="42" t="s">
        <v>714</v>
      </c>
      <c r="I267" s="42" t="s">
        <v>714</v>
      </c>
      <c r="J267" s="42" t="s">
        <v>714</v>
      </c>
      <c r="K267" s="42" t="s">
        <v>714</v>
      </c>
      <c r="L267" s="42" t="s">
        <v>714</v>
      </c>
      <c r="M267" s="150"/>
      <c r="N267" s="45" t="s">
        <v>291</v>
      </c>
      <c r="O267" s="45" t="s">
        <v>292</v>
      </c>
    </row>
    <row r="268" spans="1:30" ht="16.5" customHeight="1">
      <c r="A268" s="9"/>
      <c r="B268" s="9"/>
      <c r="C268" s="9"/>
      <c r="D268" s="161" t="s">
        <v>702</v>
      </c>
      <c r="E268" s="42" t="s">
        <v>716</v>
      </c>
      <c r="F268" s="42" t="s">
        <v>716</v>
      </c>
      <c r="G268" s="42" t="s">
        <v>716</v>
      </c>
      <c r="H268" s="42" t="s">
        <v>716</v>
      </c>
      <c r="I268" s="42" t="s">
        <v>716</v>
      </c>
      <c r="J268" s="42" t="s">
        <v>716</v>
      </c>
      <c r="K268" s="42" t="s">
        <v>716</v>
      </c>
      <c r="L268" s="42" t="s">
        <v>716</v>
      </c>
      <c r="M268" s="150"/>
      <c r="N268" s="45" t="s">
        <v>293</v>
      </c>
      <c r="O268" s="45" t="s">
        <v>294</v>
      </c>
    </row>
    <row r="269" spans="1:30" ht="16.5" customHeight="1">
      <c r="A269" s="9"/>
      <c r="B269" s="9"/>
      <c r="C269" s="9"/>
      <c r="D269" s="161" t="s">
        <v>703</v>
      </c>
      <c r="E269" s="42">
        <v>0</v>
      </c>
      <c r="F269" s="42">
        <v>0</v>
      </c>
      <c r="G269" s="42">
        <v>0</v>
      </c>
      <c r="H269" s="42">
        <v>0</v>
      </c>
      <c r="I269" s="42">
        <v>0</v>
      </c>
      <c r="J269" s="42">
        <v>0</v>
      </c>
      <c r="K269" s="42">
        <v>0</v>
      </c>
      <c r="L269" s="42">
        <v>0</v>
      </c>
      <c r="M269" s="150">
        <f>SUM(E269:L269)</f>
        <v>0</v>
      </c>
      <c r="N269" s="45" t="s">
        <v>295</v>
      </c>
      <c r="O269" s="45" t="s">
        <v>296</v>
      </c>
    </row>
    <row r="270" spans="1:30" ht="16.5" customHeight="1">
      <c r="A270" s="9"/>
      <c r="B270" s="9"/>
      <c r="C270" s="9"/>
      <c r="D270" s="161" t="s">
        <v>704</v>
      </c>
      <c r="E270" s="42">
        <v>0</v>
      </c>
      <c r="F270" s="42">
        <v>0</v>
      </c>
      <c r="G270" s="42">
        <v>0</v>
      </c>
      <c r="H270" s="42">
        <v>0</v>
      </c>
      <c r="I270" s="42">
        <v>0</v>
      </c>
      <c r="J270" s="42">
        <v>0</v>
      </c>
      <c r="K270" s="42">
        <v>0</v>
      </c>
      <c r="L270" s="42">
        <v>0</v>
      </c>
      <c r="M270" s="150">
        <f>SUM(E270:L270)</f>
        <v>0</v>
      </c>
      <c r="N270" s="45" t="s">
        <v>297</v>
      </c>
      <c r="O270" s="45" t="s">
        <v>298</v>
      </c>
    </row>
    <row r="271" spans="1:30" ht="16.5" customHeight="1" thickBot="1">
      <c r="A271" s="9"/>
      <c r="B271" s="9"/>
      <c r="C271" s="9"/>
      <c r="D271" s="162" t="s">
        <v>705</v>
      </c>
      <c r="E271" s="163">
        <f>+E265+E269+E270</f>
        <v>98765</v>
      </c>
      <c r="F271" s="163">
        <f t="shared" ref="F271:M271" si="7">+F265+F269+F270</f>
        <v>0</v>
      </c>
      <c r="G271" s="163">
        <f t="shared" si="7"/>
        <v>0</v>
      </c>
      <c r="H271" s="163">
        <f t="shared" si="7"/>
        <v>0</v>
      </c>
      <c r="I271" s="163">
        <f t="shared" si="7"/>
        <v>0</v>
      </c>
      <c r="J271" s="163">
        <f t="shared" si="7"/>
        <v>0</v>
      </c>
      <c r="K271" s="163">
        <f t="shared" si="7"/>
        <v>0</v>
      </c>
      <c r="L271" s="163">
        <f t="shared" si="7"/>
        <v>0</v>
      </c>
      <c r="M271" s="163">
        <f t="shared" si="7"/>
        <v>98765</v>
      </c>
      <c r="N271" s="45" t="s">
        <v>19</v>
      </c>
      <c r="O271" s="45" t="s">
        <v>299</v>
      </c>
    </row>
    <row r="272" spans="1:30" ht="16" thickBot="1">
      <c r="A272" s="9"/>
      <c r="B272" s="9"/>
      <c r="C272" s="9"/>
      <c r="D272" s="56"/>
      <c r="E272" s="56"/>
      <c r="F272" s="56"/>
      <c r="G272" s="56"/>
      <c r="H272" s="56"/>
      <c r="I272" s="56"/>
      <c r="J272" s="56"/>
      <c r="K272" s="56"/>
      <c r="L272" s="56"/>
      <c r="M272" s="56"/>
      <c r="N272" s="56"/>
    </row>
    <row r="273" spans="1:15" ht="16" thickBot="1">
      <c r="A273" s="9"/>
      <c r="B273" s="9"/>
      <c r="C273" s="9"/>
      <c r="D273" s="361" t="s">
        <v>706</v>
      </c>
      <c r="E273" s="362" t="s">
        <v>102</v>
      </c>
      <c r="F273" s="362"/>
      <c r="G273" s="362"/>
      <c r="H273" s="362"/>
      <c r="I273" s="362"/>
      <c r="J273" s="362"/>
      <c r="K273" s="362"/>
      <c r="L273" s="362"/>
      <c r="M273" s="363"/>
      <c r="N273" s="45" t="s">
        <v>300</v>
      </c>
      <c r="O273" s="45" t="s">
        <v>301</v>
      </c>
    </row>
    <row r="274" spans="1:15">
      <c r="A274" s="9"/>
      <c r="B274" s="9"/>
      <c r="C274" s="9"/>
      <c r="D274" s="168" t="s">
        <v>707</v>
      </c>
      <c r="E274" s="169" t="str">
        <f>+E264</f>
        <v>Nord Stream AG (Stateless Permanent Establishment Sweden)</v>
      </c>
      <c r="F274" s="169">
        <f t="shared" ref="F274:M274" si="8">+F264</f>
        <v>0</v>
      </c>
      <c r="G274" s="169">
        <f t="shared" si="8"/>
        <v>0</v>
      </c>
      <c r="H274" s="169">
        <f t="shared" si="8"/>
        <v>0</v>
      </c>
      <c r="I274" s="169">
        <f t="shared" si="8"/>
        <v>0</v>
      </c>
      <c r="J274" s="169">
        <f t="shared" si="8"/>
        <v>0</v>
      </c>
      <c r="K274" s="169">
        <f t="shared" si="8"/>
        <v>0</v>
      </c>
      <c r="L274" s="169">
        <f t="shared" si="8"/>
        <v>0</v>
      </c>
      <c r="M274" s="170" t="str">
        <f t="shared" si="8"/>
        <v>Total amount</v>
      </c>
      <c r="N274" s="45" t="s">
        <v>245</v>
      </c>
      <c r="O274" s="45" t="s">
        <v>302</v>
      </c>
    </row>
    <row r="275" spans="1:15">
      <c r="A275" s="9"/>
      <c r="B275" s="9"/>
      <c r="C275" s="9"/>
      <c r="D275" s="161" t="s">
        <v>708</v>
      </c>
      <c r="E275" s="42">
        <v>0</v>
      </c>
      <c r="F275" s="42">
        <v>0</v>
      </c>
      <c r="G275" s="42">
        <v>0</v>
      </c>
      <c r="H275" s="42">
        <v>0</v>
      </c>
      <c r="I275" s="42">
        <v>0</v>
      </c>
      <c r="J275" s="42">
        <v>0</v>
      </c>
      <c r="K275" s="42">
        <v>0</v>
      </c>
      <c r="L275" s="42">
        <v>0</v>
      </c>
      <c r="M275" s="150">
        <f>SUM(E275:L275)</f>
        <v>0</v>
      </c>
      <c r="N275" s="45" t="s">
        <v>289</v>
      </c>
      <c r="O275" s="45" t="s">
        <v>303</v>
      </c>
    </row>
    <row r="276" spans="1:15">
      <c r="A276" s="9"/>
      <c r="B276" s="9"/>
      <c r="C276" s="9"/>
      <c r="D276" s="161" t="s">
        <v>305</v>
      </c>
      <c r="E276" s="42">
        <v>0</v>
      </c>
      <c r="F276" s="42">
        <v>0</v>
      </c>
      <c r="G276" s="42">
        <v>0</v>
      </c>
      <c r="H276" s="42">
        <v>0</v>
      </c>
      <c r="I276" s="42">
        <v>0</v>
      </c>
      <c r="J276" s="42">
        <v>0</v>
      </c>
      <c r="K276" s="42">
        <v>0</v>
      </c>
      <c r="L276" s="42">
        <v>0</v>
      </c>
      <c r="M276" s="150">
        <f>SUM(E276:L276)</f>
        <v>0</v>
      </c>
      <c r="N276" s="45" t="s">
        <v>291</v>
      </c>
      <c r="O276" s="45" t="s">
        <v>304</v>
      </c>
    </row>
    <row r="277" spans="1:15">
      <c r="A277" s="9"/>
      <c r="B277" s="9"/>
      <c r="C277" s="9"/>
      <c r="D277" s="161" t="s">
        <v>709</v>
      </c>
      <c r="E277" s="42">
        <v>0</v>
      </c>
      <c r="F277" s="42">
        <v>0</v>
      </c>
      <c r="G277" s="42">
        <v>0</v>
      </c>
      <c r="H277" s="42">
        <v>0</v>
      </c>
      <c r="I277" s="42">
        <v>0</v>
      </c>
      <c r="J277" s="42">
        <v>0</v>
      </c>
      <c r="K277" s="42">
        <v>0</v>
      </c>
      <c r="L277" s="42">
        <v>0</v>
      </c>
      <c r="M277" s="150">
        <f>SUM(E277:L277)</f>
        <v>0</v>
      </c>
      <c r="N277" s="45" t="s">
        <v>293</v>
      </c>
      <c r="O277" s="45" t="s">
        <v>306</v>
      </c>
    </row>
    <row r="278" spans="1:15">
      <c r="A278" s="9"/>
      <c r="B278" s="9"/>
      <c r="C278" s="9"/>
      <c r="D278" s="161" t="s">
        <v>711</v>
      </c>
      <c r="E278" s="172">
        <v>0</v>
      </c>
      <c r="F278" s="172">
        <v>0</v>
      </c>
      <c r="G278" s="172">
        <v>0</v>
      </c>
      <c r="H278" s="172">
        <v>0</v>
      </c>
      <c r="I278" s="172">
        <v>0</v>
      </c>
      <c r="J278" s="172">
        <v>0</v>
      </c>
      <c r="K278" s="172">
        <v>0</v>
      </c>
      <c r="L278" s="172">
        <v>0</v>
      </c>
      <c r="M278" s="150">
        <f>SUM(E278:L278)</f>
        <v>0</v>
      </c>
      <c r="N278" s="45"/>
      <c r="O278" s="45"/>
    </row>
    <row r="279" spans="1:15" ht="25.5" thickBot="1">
      <c r="A279" s="9"/>
      <c r="B279" s="9"/>
      <c r="C279" s="9"/>
      <c r="D279" s="162" t="s">
        <v>712</v>
      </c>
      <c r="E279" s="106">
        <v>0</v>
      </c>
      <c r="F279" s="106">
        <v>0</v>
      </c>
      <c r="G279" s="106">
        <v>0</v>
      </c>
      <c r="H279" s="106">
        <v>0</v>
      </c>
      <c r="I279" s="106">
        <v>0</v>
      </c>
      <c r="J279" s="106">
        <v>0</v>
      </c>
      <c r="K279" s="106">
        <v>0</v>
      </c>
      <c r="L279" s="106">
        <v>0</v>
      </c>
      <c r="M279" s="164">
        <f>SUM(M275:M277)</f>
        <v>0</v>
      </c>
      <c r="N279" s="45" t="s">
        <v>263</v>
      </c>
      <c r="O279" s="45" t="s">
        <v>307</v>
      </c>
    </row>
    <row r="280" spans="1:15" ht="16" thickBot="1">
      <c r="A280" s="56"/>
      <c r="B280" s="56"/>
      <c r="C280" s="56"/>
      <c r="D280" s="56"/>
      <c r="E280" s="56"/>
      <c r="F280" s="56"/>
      <c r="G280" s="56"/>
      <c r="H280" s="56"/>
      <c r="I280" s="56"/>
      <c r="J280" s="56"/>
      <c r="K280" s="56"/>
      <c r="L280" s="56"/>
      <c r="M280" s="56"/>
      <c r="N280" s="56"/>
    </row>
    <row r="281" spans="1:15" ht="16" thickBot="1">
      <c r="A281" s="56"/>
      <c r="B281" s="56"/>
      <c r="C281" s="56"/>
      <c r="D281" s="361" t="s">
        <v>309</v>
      </c>
      <c r="E281" s="362" t="s">
        <v>102</v>
      </c>
      <c r="F281" s="362"/>
      <c r="G281" s="362"/>
      <c r="H281" s="362"/>
      <c r="I281" s="362"/>
      <c r="J281" s="362"/>
      <c r="K281" s="362"/>
      <c r="L281" s="362"/>
      <c r="M281" s="363"/>
      <c r="N281" s="56"/>
      <c r="O281" s="45" t="s">
        <v>308</v>
      </c>
    </row>
    <row r="282" spans="1:15">
      <c r="A282" s="56"/>
      <c r="B282" s="56"/>
      <c r="C282" s="56"/>
      <c r="D282" s="168" t="s">
        <v>713</v>
      </c>
      <c r="E282" s="169" t="str">
        <f>+E274</f>
        <v>Nord Stream AG (Stateless Permanent Establishment Sweden)</v>
      </c>
      <c r="F282" s="169">
        <f t="shared" ref="F282:M282" si="9">+F274</f>
        <v>0</v>
      </c>
      <c r="G282" s="169">
        <f t="shared" si="9"/>
        <v>0</v>
      </c>
      <c r="H282" s="169">
        <f t="shared" si="9"/>
        <v>0</v>
      </c>
      <c r="I282" s="169">
        <f t="shared" si="9"/>
        <v>0</v>
      </c>
      <c r="J282" s="169">
        <f t="shared" si="9"/>
        <v>0</v>
      </c>
      <c r="K282" s="169">
        <f t="shared" si="9"/>
        <v>0</v>
      </c>
      <c r="L282" s="169">
        <f t="shared" si="9"/>
        <v>0</v>
      </c>
      <c r="M282" s="170" t="str">
        <f t="shared" si="9"/>
        <v>Total amount</v>
      </c>
      <c r="N282" s="56"/>
      <c r="O282" s="45" t="s">
        <v>310</v>
      </c>
    </row>
    <row r="283" spans="1:15">
      <c r="A283" s="56"/>
      <c r="B283" s="56"/>
      <c r="C283" s="56"/>
      <c r="D283" s="161" t="s">
        <v>312</v>
      </c>
      <c r="E283" s="42">
        <v>0</v>
      </c>
      <c r="F283" s="42">
        <v>0</v>
      </c>
      <c r="G283" s="42">
        <v>0</v>
      </c>
      <c r="H283" s="42">
        <v>0</v>
      </c>
      <c r="I283" s="42">
        <v>0</v>
      </c>
      <c r="J283" s="42">
        <v>0</v>
      </c>
      <c r="K283" s="42">
        <v>0</v>
      </c>
      <c r="L283" s="42">
        <v>0</v>
      </c>
      <c r="M283" s="150">
        <f>SUM(E283:L283)</f>
        <v>0</v>
      </c>
      <c r="N283" s="56"/>
      <c r="O283" s="45" t="s">
        <v>311</v>
      </c>
    </row>
    <row r="284" spans="1:15">
      <c r="A284" s="56"/>
      <c r="B284" s="56"/>
      <c r="C284" s="56"/>
      <c r="D284" s="161" t="s">
        <v>314</v>
      </c>
      <c r="E284" s="42" t="s">
        <v>714</v>
      </c>
      <c r="F284" s="42" t="s">
        <v>714</v>
      </c>
      <c r="G284" s="42" t="s">
        <v>714</v>
      </c>
      <c r="H284" s="42" t="s">
        <v>714</v>
      </c>
      <c r="I284" s="42" t="s">
        <v>714</v>
      </c>
      <c r="J284" s="42" t="s">
        <v>714</v>
      </c>
      <c r="K284" s="42" t="s">
        <v>714</v>
      </c>
      <c r="L284" s="42" t="s">
        <v>714</v>
      </c>
      <c r="M284" s="150"/>
      <c r="N284" s="56"/>
      <c r="O284" s="45" t="s">
        <v>313</v>
      </c>
    </row>
    <row r="285" spans="1:15">
      <c r="A285" s="56"/>
      <c r="B285" s="56"/>
      <c r="C285" s="56"/>
      <c r="D285" s="161" t="s">
        <v>316</v>
      </c>
      <c r="E285" s="42" t="s">
        <v>715</v>
      </c>
      <c r="F285" s="42" t="s">
        <v>715</v>
      </c>
      <c r="G285" s="42" t="s">
        <v>715</v>
      </c>
      <c r="H285" s="42" t="s">
        <v>715</v>
      </c>
      <c r="I285" s="42" t="s">
        <v>715</v>
      </c>
      <c r="J285" s="42" t="s">
        <v>715</v>
      </c>
      <c r="K285" s="42" t="s">
        <v>715</v>
      </c>
      <c r="L285" s="42" t="s">
        <v>715</v>
      </c>
      <c r="M285" s="150"/>
      <c r="N285" s="56"/>
      <c r="O285" s="45" t="s">
        <v>315</v>
      </c>
    </row>
    <row r="286" spans="1:15" ht="16" thickBot="1">
      <c r="A286" s="56"/>
      <c r="B286" s="56"/>
      <c r="C286" s="56"/>
      <c r="D286" s="162" t="s">
        <v>318</v>
      </c>
      <c r="E286" s="106">
        <v>0</v>
      </c>
      <c r="F286" s="106">
        <v>0</v>
      </c>
      <c r="G286" s="106">
        <v>0</v>
      </c>
      <c r="H286" s="106">
        <v>0</v>
      </c>
      <c r="I286" s="106">
        <v>0</v>
      </c>
      <c r="J286" s="106"/>
      <c r="K286" s="106"/>
      <c r="L286" s="106"/>
      <c r="M286" s="164">
        <f>SUM(E286:L286)</f>
        <v>0</v>
      </c>
      <c r="N286" s="56"/>
      <c r="O286" s="45" t="s">
        <v>317</v>
      </c>
    </row>
    <row r="287" spans="1:15">
      <c r="A287" s="56"/>
      <c r="B287" s="56"/>
      <c r="C287" s="56"/>
      <c r="D287" s="2"/>
      <c r="E287" s="56"/>
      <c r="F287" s="56"/>
      <c r="G287" s="56"/>
      <c r="H287" s="56"/>
      <c r="I287" s="56"/>
      <c r="J287" s="56"/>
      <c r="K287" s="56"/>
      <c r="L287" s="56"/>
      <c r="M287" s="56"/>
      <c r="N287" s="56"/>
    </row>
    <row r="288" spans="1:15" ht="16" thickBot="1">
      <c r="A288" s="56"/>
      <c r="B288" s="56"/>
      <c r="C288" s="56"/>
      <c r="E288" s="56"/>
      <c r="F288" s="56"/>
      <c r="G288" s="56"/>
      <c r="H288" s="56"/>
      <c r="I288" s="56"/>
      <c r="J288" s="56"/>
      <c r="K288" s="56"/>
      <c r="L288" s="56"/>
      <c r="M288" s="56"/>
      <c r="N288" s="56"/>
    </row>
    <row r="289" spans="1:30" ht="16" thickBot="1">
      <c r="A289" s="56"/>
      <c r="B289" s="56"/>
      <c r="C289" s="56"/>
      <c r="D289" s="296" t="s">
        <v>319</v>
      </c>
      <c r="E289" s="297"/>
      <c r="F289" s="297"/>
      <c r="G289" s="297"/>
      <c r="H289" s="297"/>
      <c r="I289" s="297"/>
      <c r="J289" s="297"/>
      <c r="K289" s="297"/>
      <c r="L289" s="297"/>
      <c r="M289" s="298"/>
      <c r="N289" s="7"/>
    </row>
    <row r="290" spans="1:30" ht="16" thickBot="1">
      <c r="A290" s="56"/>
      <c r="B290" s="56"/>
      <c r="C290" s="56"/>
      <c r="D290" s="296" t="s">
        <v>321</v>
      </c>
      <c r="E290" s="297"/>
      <c r="F290" s="297"/>
      <c r="G290" s="297"/>
      <c r="H290" s="297"/>
      <c r="I290" s="297"/>
      <c r="J290" s="297"/>
      <c r="K290" s="297"/>
      <c r="L290" s="297"/>
      <c r="M290" s="298"/>
      <c r="N290" s="45"/>
      <c r="O290" s="45" t="s">
        <v>320</v>
      </c>
    </row>
    <row r="291" spans="1:30">
      <c r="A291" s="56"/>
      <c r="B291" s="56"/>
      <c r="C291" s="56"/>
      <c r="D291" s="174" t="s">
        <v>247</v>
      </c>
      <c r="E291" s="169" t="str">
        <f>+E282</f>
        <v>Nord Stream AG (Stateless Permanent Establishment Sweden)</v>
      </c>
      <c r="F291" s="169">
        <f t="shared" ref="F291:M291" si="10">+F282</f>
        <v>0</v>
      </c>
      <c r="G291" s="169">
        <f t="shared" si="10"/>
        <v>0</v>
      </c>
      <c r="H291" s="169">
        <f t="shared" si="10"/>
        <v>0</v>
      </c>
      <c r="I291" s="169">
        <f t="shared" si="10"/>
        <v>0</v>
      </c>
      <c r="J291" s="169">
        <f t="shared" si="10"/>
        <v>0</v>
      </c>
      <c r="K291" s="169">
        <f t="shared" si="10"/>
        <v>0</v>
      </c>
      <c r="L291" s="169">
        <f t="shared" si="10"/>
        <v>0</v>
      </c>
      <c r="M291" s="170" t="str">
        <f t="shared" si="10"/>
        <v>Total amount</v>
      </c>
      <c r="N291" s="45"/>
      <c r="O291" s="45" t="s">
        <v>322</v>
      </c>
    </row>
    <row r="292" spans="1:30" ht="16.5" customHeight="1">
      <c r="A292" s="56"/>
      <c r="B292" s="56"/>
      <c r="C292" s="56"/>
      <c r="D292" s="175" t="s">
        <v>325</v>
      </c>
      <c r="E292" s="173">
        <f>+E321</f>
        <v>234567</v>
      </c>
      <c r="F292" s="173">
        <f t="shared" ref="F292:L292" si="11">+F321</f>
        <v>0</v>
      </c>
      <c r="G292" s="173">
        <f>+G321</f>
        <v>0</v>
      </c>
      <c r="H292" s="173">
        <f t="shared" si="11"/>
        <v>0</v>
      </c>
      <c r="I292" s="173">
        <f t="shared" si="11"/>
        <v>0</v>
      </c>
      <c r="J292" s="173">
        <f t="shared" si="11"/>
        <v>0</v>
      </c>
      <c r="K292" s="173">
        <f t="shared" si="11"/>
        <v>0</v>
      </c>
      <c r="L292" s="173">
        <f t="shared" si="11"/>
        <v>0</v>
      </c>
      <c r="M292" s="150">
        <f>SUM(E292:L292)</f>
        <v>234567</v>
      </c>
      <c r="N292" s="45" t="s">
        <v>53</v>
      </c>
      <c r="O292" s="45" t="s">
        <v>324</v>
      </c>
    </row>
    <row r="293" spans="1:30">
      <c r="A293" s="56"/>
      <c r="B293" s="56"/>
      <c r="C293" s="56"/>
      <c r="D293" s="300" t="s">
        <v>250</v>
      </c>
      <c r="E293" s="301"/>
      <c r="F293" s="301"/>
      <c r="G293" s="301"/>
      <c r="H293" s="301"/>
      <c r="I293" s="301"/>
      <c r="J293" s="301"/>
      <c r="K293" s="301"/>
      <c r="L293" s="301"/>
      <c r="M293" s="302"/>
      <c r="N293" s="45" t="s">
        <v>137</v>
      </c>
      <c r="O293" s="45" t="s">
        <v>717</v>
      </c>
    </row>
    <row r="294" spans="1:30" ht="31" customHeight="1">
      <c r="A294" s="56"/>
      <c r="B294" s="56"/>
      <c r="C294" s="56"/>
      <c r="D294" s="24" t="s">
        <v>539</v>
      </c>
      <c r="E294" s="42">
        <v>0</v>
      </c>
      <c r="F294" s="42">
        <v>0</v>
      </c>
      <c r="G294" s="42">
        <v>0</v>
      </c>
      <c r="H294" s="42">
        <v>0</v>
      </c>
      <c r="I294" s="42">
        <v>0</v>
      </c>
      <c r="J294" s="42"/>
      <c r="K294" s="42"/>
      <c r="L294" s="42"/>
      <c r="M294" s="150">
        <f>SUM(E294:L294)</f>
        <v>0</v>
      </c>
      <c r="N294" s="45" t="s">
        <v>57</v>
      </c>
      <c r="O294" s="45" t="s">
        <v>718</v>
      </c>
      <c r="P294" s="289" t="s">
        <v>326</v>
      </c>
      <c r="Q294" s="290"/>
      <c r="R294" s="290"/>
      <c r="S294" s="290"/>
      <c r="T294" s="290"/>
      <c r="U294" s="290"/>
      <c r="V294" s="290"/>
      <c r="W294" s="290"/>
      <c r="X294" s="290"/>
      <c r="Y294" s="290"/>
      <c r="Z294" s="290"/>
      <c r="AA294" s="290"/>
      <c r="AB294" s="290"/>
      <c r="AC294" s="290"/>
      <c r="AD294" s="291"/>
    </row>
    <row r="295" spans="1:30" ht="52" customHeight="1">
      <c r="A295" s="56"/>
      <c r="B295" s="56"/>
      <c r="C295" s="56"/>
      <c r="D295" s="24" t="s">
        <v>730</v>
      </c>
      <c r="E295" s="42">
        <v>0</v>
      </c>
      <c r="F295" s="42">
        <v>0</v>
      </c>
      <c r="G295" s="42">
        <v>0</v>
      </c>
      <c r="H295" s="42">
        <v>0</v>
      </c>
      <c r="I295" s="42">
        <v>0</v>
      </c>
      <c r="J295" s="42"/>
      <c r="K295" s="42"/>
      <c r="L295" s="42"/>
      <c r="M295" s="150">
        <f t="shared" ref="M295:M310" si="12">SUM(E295:L295)</f>
        <v>0</v>
      </c>
      <c r="N295" s="45" t="s">
        <v>61</v>
      </c>
      <c r="O295" s="45" t="s">
        <v>719</v>
      </c>
      <c r="P295" s="289" t="s">
        <v>327</v>
      </c>
      <c r="Q295" s="290"/>
      <c r="R295" s="290"/>
      <c r="S295" s="290"/>
      <c r="T295" s="290"/>
      <c r="U295" s="290"/>
      <c r="V295" s="290"/>
      <c r="W295" s="290"/>
      <c r="X295" s="290"/>
      <c r="Y295" s="290"/>
      <c r="Z295" s="290"/>
      <c r="AA295" s="290"/>
      <c r="AB295" s="290"/>
      <c r="AC295" s="290"/>
      <c r="AD295" s="291"/>
    </row>
    <row r="296" spans="1:30" ht="56.5" customHeight="1">
      <c r="A296" s="56"/>
      <c r="B296" s="56"/>
      <c r="C296" s="56"/>
      <c r="D296" s="24" t="s">
        <v>731</v>
      </c>
      <c r="E296" s="42">
        <v>0</v>
      </c>
      <c r="F296" s="42">
        <v>0</v>
      </c>
      <c r="G296" s="42">
        <v>0</v>
      </c>
      <c r="H296" s="42">
        <v>0</v>
      </c>
      <c r="I296" s="42">
        <v>0</v>
      </c>
      <c r="J296" s="42"/>
      <c r="K296" s="42"/>
      <c r="L296" s="42"/>
      <c r="M296" s="150">
        <f t="shared" si="12"/>
        <v>0</v>
      </c>
      <c r="N296" s="45" t="s">
        <v>63</v>
      </c>
      <c r="O296" s="45" t="s">
        <v>328</v>
      </c>
      <c r="P296" s="289" t="s">
        <v>329</v>
      </c>
      <c r="Q296" s="290"/>
      <c r="R296" s="290"/>
      <c r="S296" s="290"/>
      <c r="T296" s="290"/>
      <c r="U296" s="290"/>
      <c r="V296" s="290"/>
      <c r="W296" s="290"/>
      <c r="X296" s="290"/>
      <c r="Y296" s="290"/>
      <c r="Z296" s="290"/>
      <c r="AA296" s="290"/>
      <c r="AB296" s="290"/>
      <c r="AC296" s="290"/>
      <c r="AD296" s="291"/>
    </row>
    <row r="297" spans="1:30" ht="41" customHeight="1">
      <c r="A297" s="56"/>
      <c r="B297" s="56"/>
      <c r="C297" s="56"/>
      <c r="D297" s="24" t="s">
        <v>734</v>
      </c>
      <c r="E297" s="42">
        <v>0</v>
      </c>
      <c r="F297" s="42">
        <v>0</v>
      </c>
      <c r="G297" s="42">
        <v>0</v>
      </c>
      <c r="H297" s="42">
        <v>0</v>
      </c>
      <c r="I297" s="42">
        <v>0</v>
      </c>
      <c r="J297" s="42"/>
      <c r="K297" s="42"/>
      <c r="L297" s="42"/>
      <c r="M297" s="150">
        <f t="shared" si="12"/>
        <v>0</v>
      </c>
      <c r="N297" s="45" t="s">
        <v>66</v>
      </c>
      <c r="O297" s="45" t="s">
        <v>720</v>
      </c>
      <c r="P297" s="289" t="s">
        <v>330</v>
      </c>
      <c r="Q297" s="290"/>
      <c r="R297" s="290"/>
      <c r="S297" s="290"/>
      <c r="T297" s="290"/>
      <c r="U297" s="290"/>
      <c r="V297" s="290"/>
      <c r="W297" s="290"/>
      <c r="X297" s="290"/>
      <c r="Y297" s="290"/>
      <c r="Z297" s="290"/>
      <c r="AA297" s="290"/>
      <c r="AB297" s="290"/>
      <c r="AC297" s="290"/>
      <c r="AD297" s="291"/>
    </row>
    <row r="298" spans="1:30" ht="36.5" customHeight="1">
      <c r="A298" s="56"/>
      <c r="B298" s="56"/>
      <c r="C298" s="56"/>
      <c r="D298" s="24" t="s">
        <v>732</v>
      </c>
      <c r="E298" s="42">
        <v>0</v>
      </c>
      <c r="F298" s="42">
        <v>0</v>
      </c>
      <c r="G298" s="42">
        <v>0</v>
      </c>
      <c r="H298" s="42">
        <v>0</v>
      </c>
      <c r="I298" s="42">
        <v>0</v>
      </c>
      <c r="J298" s="42"/>
      <c r="K298" s="42"/>
      <c r="L298" s="42"/>
      <c r="M298" s="150">
        <f t="shared" si="12"/>
        <v>0</v>
      </c>
      <c r="N298" s="45" t="s">
        <v>68</v>
      </c>
      <c r="O298" s="45" t="s">
        <v>721</v>
      </c>
      <c r="P298" s="289" t="s">
        <v>331</v>
      </c>
      <c r="Q298" s="290"/>
      <c r="R298" s="290"/>
      <c r="S298" s="290"/>
      <c r="T298" s="290"/>
      <c r="U298" s="290"/>
      <c r="V298" s="290"/>
      <c r="W298" s="290"/>
      <c r="X298" s="290"/>
      <c r="Y298" s="290"/>
      <c r="Z298" s="290"/>
      <c r="AA298" s="290"/>
      <c r="AB298" s="290"/>
      <c r="AC298" s="290"/>
      <c r="AD298" s="291"/>
    </row>
    <row r="299" spans="1:30" ht="31">
      <c r="A299" s="56"/>
      <c r="B299" s="56"/>
      <c r="C299" s="56"/>
      <c r="D299" s="24" t="s">
        <v>733</v>
      </c>
      <c r="E299" s="42">
        <v>0</v>
      </c>
      <c r="F299" s="42">
        <v>0</v>
      </c>
      <c r="G299" s="42">
        <v>0</v>
      </c>
      <c r="H299" s="42">
        <v>0</v>
      </c>
      <c r="I299" s="42">
        <v>0</v>
      </c>
      <c r="J299" s="42"/>
      <c r="K299" s="42"/>
      <c r="L299" s="42"/>
      <c r="M299" s="150">
        <f t="shared" si="12"/>
        <v>0</v>
      </c>
      <c r="N299" s="45" t="s">
        <v>70</v>
      </c>
      <c r="O299" s="45" t="s">
        <v>332</v>
      </c>
      <c r="P299" s="289" t="s">
        <v>333</v>
      </c>
      <c r="Q299" s="290"/>
      <c r="R299" s="290"/>
      <c r="S299" s="290"/>
      <c r="T299" s="290"/>
      <c r="U299" s="290"/>
      <c r="V299" s="290"/>
      <c r="W299" s="290"/>
      <c r="X299" s="290"/>
      <c r="Y299" s="290"/>
      <c r="Z299" s="290"/>
      <c r="AA299" s="290"/>
      <c r="AB299" s="290"/>
      <c r="AC299" s="290"/>
      <c r="AD299" s="291"/>
    </row>
    <row r="300" spans="1:30" ht="31" customHeight="1">
      <c r="A300" s="56"/>
      <c r="B300" s="56"/>
      <c r="C300" s="56"/>
      <c r="D300" s="24" t="s">
        <v>735</v>
      </c>
      <c r="E300" s="42">
        <v>0</v>
      </c>
      <c r="F300" s="42">
        <v>0</v>
      </c>
      <c r="G300" s="42">
        <v>0</v>
      </c>
      <c r="H300" s="42">
        <v>0</v>
      </c>
      <c r="I300" s="42">
        <v>0</v>
      </c>
      <c r="J300" s="42"/>
      <c r="K300" s="42"/>
      <c r="L300" s="42"/>
      <c r="M300" s="150">
        <f t="shared" si="12"/>
        <v>0</v>
      </c>
      <c r="N300" s="45" t="s">
        <v>73</v>
      </c>
      <c r="O300" s="45" t="s">
        <v>334</v>
      </c>
      <c r="P300" s="289" t="s">
        <v>335</v>
      </c>
      <c r="Q300" s="290"/>
      <c r="R300" s="290"/>
      <c r="S300" s="290"/>
      <c r="T300" s="290"/>
      <c r="U300" s="290"/>
      <c r="V300" s="290"/>
      <c r="W300" s="290"/>
      <c r="X300" s="290"/>
      <c r="Y300" s="290"/>
      <c r="Z300" s="290"/>
      <c r="AA300" s="290"/>
      <c r="AB300" s="290"/>
      <c r="AC300" s="290"/>
      <c r="AD300" s="291"/>
    </row>
    <row r="301" spans="1:30" ht="16.5" customHeight="1">
      <c r="A301" s="56"/>
      <c r="B301" s="56"/>
      <c r="C301" s="56"/>
      <c r="D301" s="24" t="s">
        <v>736</v>
      </c>
      <c r="E301" s="42">
        <v>0</v>
      </c>
      <c r="F301" s="42">
        <v>0</v>
      </c>
      <c r="G301" s="42">
        <v>0</v>
      </c>
      <c r="H301" s="42">
        <v>0</v>
      </c>
      <c r="I301" s="42">
        <v>0</v>
      </c>
      <c r="J301" s="42"/>
      <c r="K301" s="42"/>
      <c r="L301" s="42"/>
      <c r="M301" s="150">
        <f t="shared" si="12"/>
        <v>0</v>
      </c>
      <c r="N301" s="45" t="s">
        <v>76</v>
      </c>
      <c r="O301" s="45" t="s">
        <v>722</v>
      </c>
      <c r="P301" s="289" t="s">
        <v>336</v>
      </c>
      <c r="Q301" s="290"/>
      <c r="R301" s="290"/>
      <c r="S301" s="290"/>
      <c r="T301" s="290"/>
      <c r="U301" s="290"/>
      <c r="V301" s="290"/>
      <c r="W301" s="290"/>
      <c r="X301" s="290"/>
      <c r="Y301" s="290"/>
      <c r="Z301" s="290"/>
      <c r="AA301" s="290"/>
      <c r="AB301" s="290"/>
      <c r="AC301" s="290"/>
      <c r="AD301" s="291"/>
    </row>
    <row r="302" spans="1:30" ht="31" customHeight="1">
      <c r="A302" s="56"/>
      <c r="B302" s="56"/>
      <c r="C302" s="56"/>
      <c r="D302" s="24" t="s">
        <v>737</v>
      </c>
      <c r="E302" s="42">
        <v>0</v>
      </c>
      <c r="F302" s="42">
        <v>0</v>
      </c>
      <c r="G302" s="42">
        <v>0</v>
      </c>
      <c r="H302" s="42">
        <v>0</v>
      </c>
      <c r="I302" s="42">
        <v>0</v>
      </c>
      <c r="J302" s="42"/>
      <c r="K302" s="42"/>
      <c r="L302" s="42"/>
      <c r="M302" s="150">
        <f t="shared" si="12"/>
        <v>0</v>
      </c>
      <c r="N302" s="45" t="s">
        <v>78</v>
      </c>
      <c r="O302" s="45" t="s">
        <v>723</v>
      </c>
      <c r="P302" s="289" t="s">
        <v>337</v>
      </c>
      <c r="Q302" s="290"/>
      <c r="R302" s="290"/>
      <c r="S302" s="290"/>
      <c r="T302" s="290"/>
      <c r="U302" s="290"/>
      <c r="V302" s="290"/>
      <c r="W302" s="290"/>
      <c r="X302" s="290"/>
      <c r="Y302" s="290"/>
      <c r="Z302" s="290"/>
      <c r="AA302" s="290"/>
      <c r="AB302" s="290"/>
      <c r="AC302" s="290"/>
      <c r="AD302" s="291"/>
    </row>
    <row r="303" spans="1:30" ht="16.5" customHeight="1">
      <c r="A303" s="56"/>
      <c r="B303" s="56"/>
      <c r="C303" s="56"/>
      <c r="D303" s="24" t="s">
        <v>738</v>
      </c>
      <c r="E303" s="42">
        <v>0</v>
      </c>
      <c r="F303" s="42">
        <v>0</v>
      </c>
      <c r="G303" s="42">
        <v>0</v>
      </c>
      <c r="H303" s="42">
        <v>0</v>
      </c>
      <c r="I303" s="42">
        <v>0</v>
      </c>
      <c r="J303" s="42">
        <v>0</v>
      </c>
      <c r="K303" s="42">
        <v>0</v>
      </c>
      <c r="L303" s="42">
        <v>0</v>
      </c>
      <c r="M303" s="150">
        <f t="shared" si="12"/>
        <v>0</v>
      </c>
      <c r="N303" s="45" t="s">
        <v>80</v>
      </c>
      <c r="O303" s="45" t="s">
        <v>724</v>
      </c>
      <c r="P303" s="289" t="s">
        <v>338</v>
      </c>
      <c r="Q303" s="290"/>
      <c r="R303" s="290"/>
      <c r="S303" s="290"/>
      <c r="T303" s="290"/>
      <c r="U303" s="290"/>
      <c r="V303" s="290"/>
      <c r="W303" s="290"/>
      <c r="X303" s="290"/>
      <c r="Y303" s="290"/>
      <c r="Z303" s="290"/>
      <c r="AA303" s="290"/>
      <c r="AB303" s="290"/>
      <c r="AC303" s="290"/>
      <c r="AD303" s="291"/>
    </row>
    <row r="304" spans="1:30" ht="16.5" customHeight="1">
      <c r="A304" s="56"/>
      <c r="B304" s="56"/>
      <c r="C304" s="56"/>
      <c r="D304" s="24" t="s">
        <v>739</v>
      </c>
      <c r="E304" s="42">
        <v>0</v>
      </c>
      <c r="F304" s="42">
        <v>0</v>
      </c>
      <c r="G304" s="42">
        <v>0</v>
      </c>
      <c r="H304" s="42">
        <v>0</v>
      </c>
      <c r="I304" s="42">
        <v>0</v>
      </c>
      <c r="J304" s="42">
        <v>0</v>
      </c>
      <c r="K304" s="42">
        <v>0</v>
      </c>
      <c r="L304" s="42">
        <v>0</v>
      </c>
      <c r="M304" s="150">
        <f t="shared" si="12"/>
        <v>0</v>
      </c>
      <c r="N304" s="45" t="s">
        <v>82</v>
      </c>
      <c r="O304" s="45" t="s">
        <v>725</v>
      </c>
      <c r="P304" s="289" t="s">
        <v>339</v>
      </c>
      <c r="Q304" s="290"/>
      <c r="R304" s="290"/>
      <c r="S304" s="290"/>
      <c r="T304" s="290"/>
      <c r="U304" s="290"/>
      <c r="V304" s="290"/>
      <c r="W304" s="290"/>
      <c r="X304" s="290"/>
      <c r="Y304" s="290"/>
      <c r="Z304" s="290"/>
      <c r="AA304" s="290"/>
      <c r="AB304" s="290"/>
      <c r="AC304" s="290"/>
      <c r="AD304" s="291"/>
    </row>
    <row r="305" spans="1:30" ht="16.5" customHeight="1">
      <c r="A305" s="56"/>
      <c r="B305" s="56"/>
      <c r="C305" s="56"/>
      <c r="D305" s="24" t="s">
        <v>740</v>
      </c>
      <c r="E305" s="42">
        <v>0</v>
      </c>
      <c r="F305" s="42">
        <v>0</v>
      </c>
      <c r="G305" s="42">
        <v>0</v>
      </c>
      <c r="H305" s="42">
        <v>0</v>
      </c>
      <c r="I305" s="42">
        <v>0</v>
      </c>
      <c r="J305" s="42">
        <v>0</v>
      </c>
      <c r="K305" s="42">
        <v>0</v>
      </c>
      <c r="L305" s="42">
        <v>0</v>
      </c>
      <c r="M305" s="150">
        <f t="shared" si="12"/>
        <v>0</v>
      </c>
      <c r="N305" s="45" t="s">
        <v>84</v>
      </c>
      <c r="O305" s="45" t="s">
        <v>726</v>
      </c>
      <c r="P305" s="14"/>
    </row>
    <row r="306" spans="1:30" ht="16.5" customHeight="1">
      <c r="A306" s="56"/>
      <c r="B306" s="56"/>
      <c r="C306" s="56"/>
      <c r="D306" s="24" t="s">
        <v>549</v>
      </c>
      <c r="E306" s="42">
        <v>0</v>
      </c>
      <c r="F306" s="42">
        <v>0</v>
      </c>
      <c r="G306" s="42">
        <v>0</v>
      </c>
      <c r="H306" s="42">
        <v>0</v>
      </c>
      <c r="I306" s="42">
        <v>0</v>
      </c>
      <c r="J306" s="42">
        <v>0</v>
      </c>
      <c r="K306" s="42">
        <v>0</v>
      </c>
      <c r="L306" s="42">
        <v>0</v>
      </c>
      <c r="M306" s="150">
        <f t="shared" si="12"/>
        <v>0</v>
      </c>
      <c r="N306" s="45" t="s">
        <v>86</v>
      </c>
      <c r="O306" s="45" t="s">
        <v>727</v>
      </c>
      <c r="P306" s="14"/>
    </row>
    <row r="307" spans="1:30" ht="86" customHeight="1">
      <c r="A307" s="56"/>
      <c r="B307" s="56"/>
      <c r="C307" s="56"/>
      <c r="D307" s="24" t="s">
        <v>741</v>
      </c>
      <c r="E307" s="42">
        <v>0</v>
      </c>
      <c r="F307" s="42">
        <v>0</v>
      </c>
      <c r="G307" s="42">
        <v>0</v>
      </c>
      <c r="H307" s="42">
        <v>0</v>
      </c>
      <c r="I307" s="42">
        <v>0</v>
      </c>
      <c r="J307" s="42">
        <v>0</v>
      </c>
      <c r="K307" s="42">
        <v>0</v>
      </c>
      <c r="L307" s="42">
        <v>0</v>
      </c>
      <c r="M307" s="150">
        <f t="shared" si="12"/>
        <v>0</v>
      </c>
      <c r="N307" s="45" t="s">
        <v>88</v>
      </c>
      <c r="O307" s="45" t="s">
        <v>340</v>
      </c>
      <c r="P307" s="289" t="s">
        <v>341</v>
      </c>
      <c r="Q307" s="290"/>
      <c r="R307" s="290"/>
      <c r="S307" s="290"/>
      <c r="T307" s="290"/>
      <c r="U307" s="290"/>
      <c r="V307" s="290"/>
      <c r="W307" s="290"/>
      <c r="X307" s="290"/>
      <c r="Y307" s="290"/>
      <c r="Z307" s="290"/>
      <c r="AA307" s="290"/>
      <c r="AB307" s="290"/>
      <c r="AC307" s="290"/>
      <c r="AD307" s="291"/>
    </row>
    <row r="308" spans="1:30" ht="71.5" customHeight="1">
      <c r="A308" s="56"/>
      <c r="B308" s="56"/>
      <c r="C308" s="56"/>
      <c r="D308" s="24" t="s">
        <v>742</v>
      </c>
      <c r="E308" s="42">
        <v>0</v>
      </c>
      <c r="F308" s="42">
        <v>0</v>
      </c>
      <c r="G308" s="42">
        <v>0</v>
      </c>
      <c r="H308" s="42">
        <v>0</v>
      </c>
      <c r="I308" s="42">
        <v>0</v>
      </c>
      <c r="J308" s="42">
        <v>0</v>
      </c>
      <c r="K308" s="42">
        <v>0</v>
      </c>
      <c r="L308" s="42">
        <v>0</v>
      </c>
      <c r="M308" s="150">
        <f t="shared" si="12"/>
        <v>0</v>
      </c>
      <c r="N308" s="45" t="s">
        <v>90</v>
      </c>
      <c r="O308" s="45" t="s">
        <v>728</v>
      </c>
      <c r="P308" s="289" t="s">
        <v>342</v>
      </c>
      <c r="Q308" s="290"/>
      <c r="R308" s="290"/>
      <c r="S308" s="290"/>
      <c r="T308" s="290"/>
      <c r="U308" s="290"/>
      <c r="V308" s="290"/>
      <c r="W308" s="290"/>
      <c r="X308" s="290"/>
      <c r="Y308" s="290"/>
      <c r="Z308" s="290"/>
      <c r="AA308" s="290"/>
      <c r="AB308" s="290"/>
      <c r="AC308" s="290"/>
      <c r="AD308" s="291"/>
    </row>
    <row r="309" spans="1:30" ht="16.5" customHeight="1">
      <c r="A309" s="56"/>
      <c r="B309" s="56"/>
      <c r="C309" s="56"/>
      <c r="D309" s="24" t="s">
        <v>743</v>
      </c>
      <c r="E309" s="42">
        <v>0</v>
      </c>
      <c r="F309" s="42">
        <v>0</v>
      </c>
      <c r="G309" s="42">
        <v>0</v>
      </c>
      <c r="H309" s="42">
        <v>0</v>
      </c>
      <c r="I309" s="42">
        <v>0</v>
      </c>
      <c r="J309" s="42">
        <v>0</v>
      </c>
      <c r="K309" s="42">
        <v>0</v>
      </c>
      <c r="L309" s="42">
        <v>0</v>
      </c>
      <c r="M309" s="150">
        <f t="shared" si="12"/>
        <v>0</v>
      </c>
      <c r="N309" s="45" t="s">
        <v>92</v>
      </c>
      <c r="O309" s="45" t="s">
        <v>344</v>
      </c>
      <c r="P309" s="14"/>
    </row>
    <row r="310" spans="1:30" ht="31">
      <c r="A310" s="56"/>
      <c r="B310" s="56"/>
      <c r="C310" s="56"/>
      <c r="D310" s="24" t="s">
        <v>744</v>
      </c>
      <c r="E310" s="42">
        <v>0</v>
      </c>
      <c r="F310" s="42">
        <v>0</v>
      </c>
      <c r="G310" s="42">
        <v>0</v>
      </c>
      <c r="H310" s="42">
        <v>0</v>
      </c>
      <c r="I310" s="42">
        <v>0</v>
      </c>
      <c r="J310" s="42"/>
      <c r="K310" s="42"/>
      <c r="L310" s="42"/>
      <c r="M310" s="150">
        <f t="shared" si="12"/>
        <v>0</v>
      </c>
      <c r="N310" s="45" t="s">
        <v>91</v>
      </c>
      <c r="O310" s="45" t="s">
        <v>729</v>
      </c>
      <c r="P310" s="289" t="s">
        <v>345</v>
      </c>
      <c r="Q310" s="290"/>
      <c r="R310" s="290"/>
      <c r="S310" s="290"/>
      <c r="T310" s="290"/>
      <c r="U310" s="290"/>
      <c r="V310" s="290"/>
      <c r="W310" s="290"/>
      <c r="X310" s="290"/>
      <c r="Y310" s="290"/>
      <c r="Z310" s="290"/>
      <c r="AA310" s="290"/>
      <c r="AB310" s="290"/>
      <c r="AC310" s="290"/>
      <c r="AD310" s="291"/>
    </row>
    <row r="311" spans="1:30" ht="16.5" customHeight="1" thickBot="1">
      <c r="A311" s="56"/>
      <c r="B311" s="56"/>
      <c r="C311" s="56"/>
      <c r="D311" s="176" t="s">
        <v>347</v>
      </c>
      <c r="E311" s="171">
        <f t="shared" ref="E311:M311" si="13">+E292+SUM(E294:E310)</f>
        <v>234567</v>
      </c>
      <c r="F311" s="171">
        <f t="shared" si="13"/>
        <v>0</v>
      </c>
      <c r="G311" s="171">
        <f>+G292+SUM(G294:G310)</f>
        <v>0</v>
      </c>
      <c r="H311" s="171">
        <f t="shared" si="13"/>
        <v>0</v>
      </c>
      <c r="I311" s="171">
        <f t="shared" si="13"/>
        <v>0</v>
      </c>
      <c r="J311" s="171">
        <f t="shared" si="13"/>
        <v>0</v>
      </c>
      <c r="K311" s="171">
        <f t="shared" si="13"/>
        <v>0</v>
      </c>
      <c r="L311" s="171">
        <f t="shared" si="13"/>
        <v>0</v>
      </c>
      <c r="M311" s="164">
        <f t="shared" si="13"/>
        <v>234567</v>
      </c>
      <c r="N311" s="45" t="s">
        <v>14</v>
      </c>
      <c r="O311" s="45" t="s">
        <v>346</v>
      </c>
    </row>
    <row r="312" spans="1:30" ht="16" thickBot="1">
      <c r="A312" s="56"/>
      <c r="B312" s="56"/>
      <c r="C312" s="56"/>
      <c r="D312" s="7"/>
      <c r="E312" s="7"/>
      <c r="F312" s="7"/>
      <c r="G312" s="7"/>
      <c r="H312" s="7"/>
      <c r="I312" s="7"/>
      <c r="J312" s="7"/>
      <c r="K312" s="7"/>
    </row>
    <row r="313" spans="1:30" ht="16" thickBot="1">
      <c r="A313" s="56"/>
      <c r="B313" s="56"/>
      <c r="C313" s="56"/>
      <c r="D313" s="296" t="s">
        <v>745</v>
      </c>
      <c r="E313" s="297" t="s">
        <v>102</v>
      </c>
      <c r="F313" s="297"/>
      <c r="G313" s="297"/>
      <c r="H313" s="297"/>
      <c r="I313" s="297"/>
      <c r="J313" s="297"/>
      <c r="K313" s="297"/>
      <c r="L313" s="297"/>
      <c r="M313" s="298"/>
      <c r="N313" s="45"/>
      <c r="O313" s="45" t="s">
        <v>348</v>
      </c>
    </row>
    <row r="314" spans="1:30">
      <c r="A314" s="56"/>
      <c r="B314" s="56"/>
      <c r="C314" s="56"/>
      <c r="D314" s="168" t="s">
        <v>713</v>
      </c>
      <c r="E314" s="169" t="str">
        <f>+E291</f>
        <v>Nord Stream AG (Stateless Permanent Establishment Sweden)</v>
      </c>
      <c r="F314" s="169">
        <f t="shared" ref="F314:L314" si="14">+F291</f>
        <v>0</v>
      </c>
      <c r="G314" s="169">
        <f t="shared" si="14"/>
        <v>0</v>
      </c>
      <c r="H314" s="169">
        <f t="shared" si="14"/>
        <v>0</v>
      </c>
      <c r="I314" s="169">
        <f t="shared" si="14"/>
        <v>0</v>
      </c>
      <c r="J314" s="169">
        <f t="shared" si="14"/>
        <v>0</v>
      </c>
      <c r="K314" s="169">
        <f t="shared" si="14"/>
        <v>0</v>
      </c>
      <c r="L314" s="169">
        <f t="shared" si="14"/>
        <v>0</v>
      </c>
      <c r="M314" s="170" t="str">
        <f>+M291</f>
        <v>Total amount</v>
      </c>
      <c r="N314" s="45" t="s">
        <v>245</v>
      </c>
      <c r="O314" s="45" t="s">
        <v>349</v>
      </c>
    </row>
    <row r="315" spans="1:30">
      <c r="A315" s="56"/>
      <c r="B315" s="56"/>
      <c r="C315" s="56"/>
      <c r="D315" s="161" t="s">
        <v>746</v>
      </c>
      <c r="E315" s="42">
        <v>234567</v>
      </c>
      <c r="F315" s="42">
        <v>0</v>
      </c>
      <c r="G315" s="42">
        <v>0</v>
      </c>
      <c r="H315" s="42">
        <v>0</v>
      </c>
      <c r="I315" s="42">
        <v>0</v>
      </c>
      <c r="J315" s="42">
        <v>0</v>
      </c>
      <c r="K315" s="42"/>
      <c r="L315" s="42"/>
      <c r="M315" s="150">
        <f>SUM(E315:L315)</f>
        <v>234567</v>
      </c>
      <c r="N315" s="45"/>
      <c r="O315" s="45" t="s">
        <v>350</v>
      </c>
    </row>
    <row r="316" spans="1:30">
      <c r="A316" s="56"/>
      <c r="B316" s="56"/>
      <c r="C316" s="56"/>
      <c r="D316" s="177" t="s">
        <v>710</v>
      </c>
      <c r="E316" s="42"/>
      <c r="F316" s="42"/>
      <c r="G316" s="42"/>
      <c r="H316" s="42"/>
      <c r="I316" s="42"/>
      <c r="J316" s="42"/>
      <c r="K316" s="42"/>
      <c r="L316" s="42"/>
      <c r="M316" s="150"/>
      <c r="N316" s="45" t="s">
        <v>289</v>
      </c>
      <c r="O316" s="45" t="s">
        <v>351</v>
      </c>
    </row>
    <row r="317" spans="1:30">
      <c r="A317" s="56"/>
      <c r="B317" s="56"/>
      <c r="C317" s="56"/>
      <c r="D317" s="161" t="s">
        <v>701</v>
      </c>
      <c r="E317" s="42" t="s">
        <v>714</v>
      </c>
      <c r="F317" s="42" t="s">
        <v>714</v>
      </c>
      <c r="G317" s="42" t="s">
        <v>714</v>
      </c>
      <c r="H317" s="42" t="s">
        <v>714</v>
      </c>
      <c r="I317" s="42" t="s">
        <v>714</v>
      </c>
      <c r="J317" s="42" t="s">
        <v>714</v>
      </c>
      <c r="K317" s="42" t="s">
        <v>714</v>
      </c>
      <c r="L317" s="42" t="s">
        <v>714</v>
      </c>
      <c r="M317" s="150"/>
      <c r="N317" s="45" t="s">
        <v>291</v>
      </c>
      <c r="O317" s="45" t="s">
        <v>352</v>
      </c>
    </row>
    <row r="318" spans="1:30">
      <c r="A318" s="56"/>
      <c r="B318" s="56"/>
      <c r="C318" s="56"/>
      <c r="D318" s="161" t="s">
        <v>702</v>
      </c>
      <c r="E318" s="42" t="s">
        <v>716</v>
      </c>
      <c r="F318" s="42" t="s">
        <v>716</v>
      </c>
      <c r="G318" s="42" t="s">
        <v>716</v>
      </c>
      <c r="H318" s="42" t="s">
        <v>716</v>
      </c>
      <c r="I318" s="42" t="s">
        <v>716</v>
      </c>
      <c r="J318" s="42" t="s">
        <v>716</v>
      </c>
      <c r="K318" s="42" t="s">
        <v>716</v>
      </c>
      <c r="L318" s="42" t="s">
        <v>716</v>
      </c>
      <c r="M318" s="150"/>
      <c r="N318" s="45" t="s">
        <v>293</v>
      </c>
      <c r="O318" s="45" t="s">
        <v>353</v>
      </c>
    </row>
    <row r="319" spans="1:30">
      <c r="A319" s="56"/>
      <c r="B319" s="56"/>
      <c r="C319" s="56"/>
      <c r="D319" s="161" t="s">
        <v>703</v>
      </c>
      <c r="E319" s="42">
        <v>0</v>
      </c>
      <c r="F319" s="42">
        <v>0</v>
      </c>
      <c r="G319" s="42">
        <v>0</v>
      </c>
      <c r="H319" s="42">
        <v>0</v>
      </c>
      <c r="I319" s="42">
        <v>0</v>
      </c>
      <c r="J319" s="42"/>
      <c r="K319" s="42"/>
      <c r="L319" s="42"/>
      <c r="M319" s="150">
        <f>SUM(E319:L319)</f>
        <v>0</v>
      </c>
      <c r="N319" s="45" t="s">
        <v>295</v>
      </c>
      <c r="O319" s="45" t="s">
        <v>354</v>
      </c>
    </row>
    <row r="320" spans="1:30">
      <c r="A320" s="56"/>
      <c r="B320" s="56"/>
      <c r="C320" s="56"/>
      <c r="D320" s="161" t="s">
        <v>704</v>
      </c>
      <c r="E320" s="42">
        <v>0</v>
      </c>
      <c r="F320" s="42">
        <v>0</v>
      </c>
      <c r="G320" s="42">
        <v>0</v>
      </c>
      <c r="H320" s="42">
        <v>0</v>
      </c>
      <c r="I320" s="42">
        <v>0</v>
      </c>
      <c r="J320" s="42"/>
      <c r="K320" s="42"/>
      <c r="L320" s="42"/>
      <c r="M320" s="150">
        <f>SUM(E320:L320)</f>
        <v>0</v>
      </c>
      <c r="N320" s="45" t="s">
        <v>297</v>
      </c>
      <c r="O320" s="45" t="s">
        <v>355</v>
      </c>
    </row>
    <row r="321" spans="1:30" ht="16" thickBot="1">
      <c r="A321" s="56"/>
      <c r="B321" s="56"/>
      <c r="C321" s="56"/>
      <c r="D321" s="178" t="s">
        <v>747</v>
      </c>
      <c r="E321" s="179">
        <f>+E315+E319+E320</f>
        <v>234567</v>
      </c>
      <c r="F321" s="179">
        <f t="shared" ref="F321:L321" si="15">+F315+F319+F320</f>
        <v>0</v>
      </c>
      <c r="G321" s="179">
        <f t="shared" si="15"/>
        <v>0</v>
      </c>
      <c r="H321" s="179">
        <f t="shared" si="15"/>
        <v>0</v>
      </c>
      <c r="I321" s="179">
        <f t="shared" si="15"/>
        <v>0</v>
      </c>
      <c r="J321" s="179">
        <f t="shared" si="15"/>
        <v>0</v>
      </c>
      <c r="K321" s="179">
        <f t="shared" si="15"/>
        <v>0</v>
      </c>
      <c r="L321" s="179">
        <f t="shared" si="15"/>
        <v>0</v>
      </c>
      <c r="M321" s="180">
        <f>+M315+M319+M320</f>
        <v>234567</v>
      </c>
      <c r="N321" s="45" t="s">
        <v>323</v>
      </c>
      <c r="O321" s="45"/>
    </row>
    <row r="322" spans="1:30" ht="16" thickBot="1">
      <c r="A322" s="56"/>
      <c r="B322" s="56"/>
      <c r="C322" s="56"/>
      <c r="D322" s="7"/>
      <c r="E322" s="7"/>
      <c r="F322" s="7"/>
      <c r="G322" s="7"/>
      <c r="H322" s="7"/>
      <c r="I322" s="7"/>
      <c r="J322" s="7"/>
      <c r="K322" s="7"/>
    </row>
    <row r="323" spans="1:30" ht="16" thickBot="1">
      <c r="A323" s="56"/>
      <c r="B323" s="56"/>
      <c r="C323" s="56"/>
      <c r="D323" s="296" t="s">
        <v>808</v>
      </c>
      <c r="E323" s="297"/>
      <c r="F323" s="297"/>
      <c r="G323" s="297"/>
      <c r="H323" s="297"/>
      <c r="I323" s="297"/>
      <c r="J323" s="297"/>
      <c r="K323" s="297"/>
      <c r="L323" s="297"/>
      <c r="M323" s="298"/>
      <c r="N323" s="45"/>
      <c r="O323" s="45" t="s">
        <v>356</v>
      </c>
    </row>
    <row r="324" spans="1:30">
      <c r="A324" s="56"/>
      <c r="B324" s="56"/>
      <c r="C324" s="56"/>
      <c r="D324" s="174" t="s">
        <v>247</v>
      </c>
      <c r="E324" s="169" t="str">
        <f>+E314</f>
        <v>Nord Stream AG (Stateless Permanent Establishment Sweden)</v>
      </c>
      <c r="F324" s="169">
        <f t="shared" ref="F324:M324" si="16">+F314</f>
        <v>0</v>
      </c>
      <c r="G324" s="169">
        <f t="shared" si="16"/>
        <v>0</v>
      </c>
      <c r="H324" s="169">
        <f t="shared" si="16"/>
        <v>0</v>
      </c>
      <c r="I324" s="169">
        <f t="shared" si="16"/>
        <v>0</v>
      </c>
      <c r="J324" s="169">
        <f t="shared" si="16"/>
        <v>0</v>
      </c>
      <c r="K324" s="169">
        <f t="shared" si="16"/>
        <v>0</v>
      </c>
      <c r="L324" s="169">
        <f t="shared" si="16"/>
        <v>0</v>
      </c>
      <c r="M324" s="170" t="str">
        <f t="shared" si="16"/>
        <v>Total amount</v>
      </c>
      <c r="N324" s="45" t="s">
        <v>245</v>
      </c>
      <c r="O324" s="45" t="s">
        <v>357</v>
      </c>
    </row>
    <row r="325" spans="1:30">
      <c r="A325" s="56"/>
      <c r="B325" s="56"/>
      <c r="C325" s="56"/>
      <c r="D325" s="175" t="s">
        <v>765</v>
      </c>
      <c r="E325" s="42">
        <v>3456</v>
      </c>
      <c r="F325" s="42">
        <v>0</v>
      </c>
      <c r="G325" s="42">
        <v>0</v>
      </c>
      <c r="H325" s="42">
        <v>0</v>
      </c>
      <c r="I325" s="42">
        <v>0</v>
      </c>
      <c r="J325" s="42"/>
      <c r="K325" s="42"/>
      <c r="L325" s="42"/>
      <c r="M325" s="150">
        <f>SUM(E325:L325)</f>
        <v>3456</v>
      </c>
      <c r="N325" s="45" t="s">
        <v>118</v>
      </c>
      <c r="O325" s="45" t="s">
        <v>358</v>
      </c>
    </row>
    <row r="326" spans="1:30">
      <c r="A326" s="56"/>
      <c r="B326" s="56"/>
      <c r="C326" s="56"/>
      <c r="D326" s="300" t="s">
        <v>766</v>
      </c>
      <c r="E326" s="301"/>
      <c r="F326" s="301"/>
      <c r="G326" s="301"/>
      <c r="H326" s="301"/>
      <c r="I326" s="301"/>
      <c r="J326" s="301"/>
      <c r="K326" s="301"/>
      <c r="L326" s="375"/>
      <c r="M326" s="183"/>
      <c r="N326" s="45" t="s">
        <v>137</v>
      </c>
      <c r="O326" s="45" t="s">
        <v>359</v>
      </c>
    </row>
    <row r="327" spans="1:30" ht="33" customHeight="1">
      <c r="A327" s="56"/>
      <c r="B327" s="56"/>
      <c r="C327" s="56"/>
      <c r="D327" s="23" t="s">
        <v>592</v>
      </c>
      <c r="E327" s="42">
        <v>0</v>
      </c>
      <c r="F327" s="42">
        <v>0</v>
      </c>
      <c r="G327" s="42">
        <v>0</v>
      </c>
      <c r="H327" s="42">
        <v>0</v>
      </c>
      <c r="I327" s="42">
        <v>0</v>
      </c>
      <c r="J327" s="42"/>
      <c r="K327" s="42"/>
      <c r="L327" s="42"/>
      <c r="M327" s="150">
        <f t="shared" ref="M327:M342" si="17">SUM(E327:L327)</f>
        <v>0</v>
      </c>
      <c r="N327" s="45" t="s">
        <v>141</v>
      </c>
      <c r="O327" s="45" t="s">
        <v>749</v>
      </c>
      <c r="P327" s="372" t="s">
        <v>360</v>
      </c>
      <c r="Q327" s="373"/>
      <c r="R327" s="373"/>
      <c r="S327" s="373"/>
      <c r="T327" s="373"/>
      <c r="U327" s="373"/>
      <c r="V327" s="373"/>
      <c r="W327" s="373"/>
      <c r="X327" s="373"/>
      <c r="Y327" s="373"/>
      <c r="Z327" s="373"/>
      <c r="AA327" s="373"/>
      <c r="AB327" s="373"/>
      <c r="AC327" s="373"/>
      <c r="AD327" s="374"/>
    </row>
    <row r="328" spans="1:30" ht="28" customHeight="1">
      <c r="A328" s="56"/>
      <c r="B328" s="56"/>
      <c r="C328" s="56"/>
      <c r="D328" s="23" t="s">
        <v>604</v>
      </c>
      <c r="E328" s="42">
        <v>0</v>
      </c>
      <c r="F328" s="42">
        <v>0</v>
      </c>
      <c r="G328" s="42">
        <v>0</v>
      </c>
      <c r="H328" s="42">
        <v>0</v>
      </c>
      <c r="I328" s="42">
        <v>0</v>
      </c>
      <c r="J328" s="42"/>
      <c r="K328" s="42"/>
      <c r="L328" s="42"/>
      <c r="M328" s="150">
        <f t="shared" si="17"/>
        <v>0</v>
      </c>
      <c r="N328" s="45" t="s">
        <v>142</v>
      </c>
      <c r="O328" s="45" t="s">
        <v>750</v>
      </c>
      <c r="P328" s="372" t="s">
        <v>748</v>
      </c>
      <c r="Q328" s="373"/>
      <c r="R328" s="373"/>
      <c r="S328" s="373"/>
      <c r="T328" s="373"/>
      <c r="U328" s="373"/>
      <c r="V328" s="373"/>
      <c r="W328" s="373"/>
      <c r="X328" s="373"/>
      <c r="Y328" s="373"/>
      <c r="Z328" s="373"/>
      <c r="AA328" s="373"/>
      <c r="AB328" s="373"/>
      <c r="AC328" s="373"/>
      <c r="AD328" s="374"/>
    </row>
    <row r="329" spans="1:30" ht="15.5" customHeight="1">
      <c r="A329" s="56"/>
      <c r="B329" s="56"/>
      <c r="C329" s="56"/>
      <c r="D329" s="23" t="s">
        <v>605</v>
      </c>
      <c r="E329" s="42">
        <v>0</v>
      </c>
      <c r="F329" s="42">
        <v>0</v>
      </c>
      <c r="G329" s="42">
        <v>0</v>
      </c>
      <c r="H329" s="42">
        <v>0</v>
      </c>
      <c r="I329" s="42">
        <v>0</v>
      </c>
      <c r="J329" s="42"/>
      <c r="K329" s="42"/>
      <c r="L329" s="42"/>
      <c r="M329" s="150">
        <f t="shared" si="17"/>
        <v>0</v>
      </c>
      <c r="N329" s="45" t="s">
        <v>143</v>
      </c>
      <c r="O329" s="45" t="s">
        <v>751</v>
      </c>
      <c r="P329" s="372" t="s">
        <v>748</v>
      </c>
      <c r="Q329" s="373"/>
      <c r="R329" s="373"/>
      <c r="S329" s="373"/>
      <c r="T329" s="373"/>
      <c r="U329" s="373"/>
      <c r="V329" s="373"/>
      <c r="W329" s="373"/>
      <c r="X329" s="373"/>
      <c r="Y329" s="373"/>
      <c r="Z329" s="373"/>
      <c r="AA329" s="373"/>
      <c r="AB329" s="373"/>
      <c r="AC329" s="373"/>
      <c r="AD329" s="374"/>
    </row>
    <row r="330" spans="1:30" ht="15.5" customHeight="1">
      <c r="A330" s="56"/>
      <c r="B330" s="56"/>
      <c r="C330" s="56"/>
      <c r="D330" s="23" t="s">
        <v>593</v>
      </c>
      <c r="E330" s="42">
        <v>0</v>
      </c>
      <c r="F330" s="42">
        <v>0</v>
      </c>
      <c r="G330" s="42">
        <v>0</v>
      </c>
      <c r="H330" s="42">
        <v>0</v>
      </c>
      <c r="I330" s="42">
        <v>0</v>
      </c>
      <c r="J330" s="42"/>
      <c r="K330" s="42"/>
      <c r="L330" s="42"/>
      <c r="M330" s="150">
        <f t="shared" si="17"/>
        <v>0</v>
      </c>
      <c r="N330" s="45" t="s">
        <v>144</v>
      </c>
      <c r="O330" s="45" t="s">
        <v>752</v>
      </c>
      <c r="P330" s="372" t="s">
        <v>361</v>
      </c>
      <c r="Q330" s="373"/>
      <c r="R330" s="373"/>
      <c r="S330" s="373"/>
      <c r="T330" s="373"/>
      <c r="U330" s="373"/>
      <c r="V330" s="373"/>
      <c r="W330" s="373"/>
      <c r="X330" s="373"/>
      <c r="Y330" s="373"/>
      <c r="Z330" s="373"/>
      <c r="AA330" s="373"/>
      <c r="AB330" s="373"/>
      <c r="AC330" s="373"/>
      <c r="AD330" s="374"/>
    </row>
    <row r="331" spans="1:30" ht="15.5" customHeight="1">
      <c r="A331" s="56"/>
      <c r="B331" s="56"/>
      <c r="C331" s="56"/>
      <c r="D331" s="23" t="s">
        <v>594</v>
      </c>
      <c r="E331" s="42">
        <v>0</v>
      </c>
      <c r="F331" s="42">
        <v>0</v>
      </c>
      <c r="G331" s="42">
        <v>0</v>
      </c>
      <c r="H331" s="42">
        <v>0</v>
      </c>
      <c r="I331" s="42">
        <v>0</v>
      </c>
      <c r="J331" s="42"/>
      <c r="K331" s="42"/>
      <c r="L331" s="42"/>
      <c r="M331" s="150">
        <f t="shared" si="17"/>
        <v>0</v>
      </c>
      <c r="N331" s="45" t="s">
        <v>145</v>
      </c>
      <c r="O331" s="45" t="s">
        <v>753</v>
      </c>
      <c r="P331" s="372" t="s">
        <v>362</v>
      </c>
      <c r="Q331" s="373"/>
      <c r="R331" s="373"/>
      <c r="S331" s="373"/>
      <c r="T331" s="373"/>
      <c r="U331" s="373"/>
      <c r="V331" s="373"/>
      <c r="W331" s="373"/>
      <c r="X331" s="373"/>
      <c r="Y331" s="373"/>
      <c r="Z331" s="373"/>
      <c r="AA331" s="373"/>
      <c r="AB331" s="373"/>
      <c r="AC331" s="373"/>
      <c r="AD331" s="374"/>
    </row>
    <row r="332" spans="1:30" ht="31" customHeight="1">
      <c r="A332" s="56"/>
      <c r="B332" s="56"/>
      <c r="C332" s="56"/>
      <c r="D332" s="23" t="s">
        <v>595</v>
      </c>
      <c r="E332" s="42">
        <v>0</v>
      </c>
      <c r="F332" s="42">
        <v>0</v>
      </c>
      <c r="G332" s="42">
        <v>0</v>
      </c>
      <c r="H332" s="42">
        <v>0</v>
      </c>
      <c r="I332" s="42">
        <v>0</v>
      </c>
      <c r="J332" s="42"/>
      <c r="K332" s="42"/>
      <c r="L332" s="42"/>
      <c r="M332" s="150">
        <f t="shared" si="17"/>
        <v>0</v>
      </c>
      <c r="N332" s="45" t="s">
        <v>146</v>
      </c>
      <c r="O332" s="45" t="s">
        <v>754</v>
      </c>
      <c r="P332" s="325" t="s">
        <v>363</v>
      </c>
      <c r="Q332" s="326"/>
      <c r="R332" s="326"/>
      <c r="S332" s="326"/>
      <c r="T332" s="326"/>
      <c r="U332" s="326"/>
      <c r="V332" s="326"/>
      <c r="W332" s="326"/>
      <c r="X332" s="326"/>
      <c r="Y332" s="326"/>
      <c r="Z332" s="326"/>
      <c r="AA332" s="326"/>
      <c r="AB332" s="326"/>
      <c r="AC332" s="326"/>
      <c r="AD332" s="327"/>
    </row>
    <row r="333" spans="1:30" ht="88.5" customHeight="1">
      <c r="A333" s="56"/>
      <c r="B333" s="56"/>
      <c r="C333" s="56"/>
      <c r="D333" s="23" t="s">
        <v>596</v>
      </c>
      <c r="E333" s="42">
        <v>0</v>
      </c>
      <c r="F333" s="42">
        <v>0</v>
      </c>
      <c r="G333" s="42">
        <v>0</v>
      </c>
      <c r="H333" s="42">
        <v>0</v>
      </c>
      <c r="I333" s="42">
        <v>0</v>
      </c>
      <c r="J333" s="42"/>
      <c r="K333" s="42"/>
      <c r="L333" s="42"/>
      <c r="M333" s="150">
        <f t="shared" si="17"/>
        <v>0</v>
      </c>
      <c r="N333" s="45" t="s">
        <v>148</v>
      </c>
      <c r="O333" s="45" t="s">
        <v>755</v>
      </c>
      <c r="P333" s="325" t="s">
        <v>364</v>
      </c>
      <c r="Q333" s="326"/>
      <c r="R333" s="326"/>
      <c r="S333" s="326"/>
      <c r="T333" s="326"/>
      <c r="U333" s="326"/>
      <c r="V333" s="326"/>
      <c r="W333" s="326"/>
      <c r="X333" s="326"/>
      <c r="Y333" s="326"/>
      <c r="Z333" s="326"/>
      <c r="AA333" s="326"/>
      <c r="AB333" s="326"/>
      <c r="AC333" s="326"/>
      <c r="AD333" s="327"/>
    </row>
    <row r="334" spans="1:30" ht="33" customHeight="1">
      <c r="A334" s="56"/>
      <c r="B334" s="56"/>
      <c r="C334" s="56"/>
      <c r="D334" s="23" t="s">
        <v>597</v>
      </c>
      <c r="E334" s="42">
        <v>0</v>
      </c>
      <c r="F334" s="42">
        <v>0</v>
      </c>
      <c r="G334" s="42">
        <v>0</v>
      </c>
      <c r="H334" s="42">
        <v>0</v>
      </c>
      <c r="I334" s="42">
        <v>0</v>
      </c>
      <c r="J334" s="42"/>
      <c r="K334" s="42"/>
      <c r="L334" s="42"/>
      <c r="M334" s="150">
        <f t="shared" si="17"/>
        <v>0</v>
      </c>
      <c r="N334" s="45" t="s">
        <v>150</v>
      </c>
      <c r="O334" s="45" t="s">
        <v>756</v>
      </c>
      <c r="P334" s="325" t="s">
        <v>365</v>
      </c>
      <c r="Q334" s="326"/>
      <c r="R334" s="326"/>
      <c r="S334" s="326"/>
      <c r="T334" s="326"/>
      <c r="U334" s="326"/>
      <c r="V334" s="326"/>
      <c r="W334" s="326"/>
      <c r="X334" s="326"/>
      <c r="Y334" s="326"/>
      <c r="Z334" s="326"/>
      <c r="AA334" s="326"/>
      <c r="AB334" s="326"/>
      <c r="AC334" s="326"/>
      <c r="AD334" s="327"/>
    </row>
    <row r="335" spans="1:30" ht="15.5" customHeight="1">
      <c r="A335" s="56"/>
      <c r="B335" s="56"/>
      <c r="C335" s="56"/>
      <c r="D335" s="23" t="s">
        <v>598</v>
      </c>
      <c r="E335" s="42">
        <v>0</v>
      </c>
      <c r="F335" s="42">
        <v>0</v>
      </c>
      <c r="G335" s="42">
        <v>0</v>
      </c>
      <c r="H335" s="42">
        <v>0</v>
      </c>
      <c r="I335" s="42">
        <v>0</v>
      </c>
      <c r="J335" s="42">
        <v>0</v>
      </c>
      <c r="K335" s="42">
        <v>0</v>
      </c>
      <c r="L335" s="42">
        <v>0</v>
      </c>
      <c r="M335" s="150">
        <f t="shared" si="17"/>
        <v>0</v>
      </c>
      <c r="N335" s="45" t="s">
        <v>151</v>
      </c>
      <c r="O335" s="45" t="s">
        <v>757</v>
      </c>
      <c r="P335" s="325" t="s">
        <v>366</v>
      </c>
      <c r="Q335" s="326"/>
      <c r="R335" s="326"/>
      <c r="S335" s="326"/>
      <c r="T335" s="326"/>
      <c r="U335" s="326"/>
      <c r="V335" s="326"/>
      <c r="W335" s="326"/>
      <c r="X335" s="326"/>
      <c r="Y335" s="326"/>
      <c r="Z335" s="326"/>
      <c r="AA335" s="326"/>
      <c r="AB335" s="326"/>
      <c r="AC335" s="326"/>
      <c r="AD335" s="327"/>
    </row>
    <row r="336" spans="1:30" ht="48" customHeight="1">
      <c r="A336" s="56"/>
      <c r="B336" s="56"/>
      <c r="C336" s="56"/>
      <c r="D336" s="23" t="s">
        <v>599</v>
      </c>
      <c r="E336" s="42">
        <v>0</v>
      </c>
      <c r="F336" s="42">
        <v>0</v>
      </c>
      <c r="G336" s="42">
        <v>0</v>
      </c>
      <c r="H336" s="42">
        <v>0</v>
      </c>
      <c r="I336" s="42">
        <v>0</v>
      </c>
      <c r="J336" s="42"/>
      <c r="K336" s="42"/>
      <c r="L336" s="42"/>
      <c r="M336" s="150">
        <f t="shared" si="17"/>
        <v>0</v>
      </c>
      <c r="N336" s="45" t="s">
        <v>152</v>
      </c>
      <c r="O336" s="45" t="s">
        <v>758</v>
      </c>
      <c r="P336" s="325" t="s">
        <v>367</v>
      </c>
      <c r="Q336" s="326"/>
      <c r="R336" s="326"/>
      <c r="S336" s="326"/>
      <c r="T336" s="326"/>
      <c r="U336" s="326"/>
      <c r="V336" s="326"/>
      <c r="W336" s="326"/>
      <c r="X336" s="326"/>
      <c r="Y336" s="326"/>
      <c r="Z336" s="326"/>
      <c r="AA336" s="326"/>
      <c r="AB336" s="326"/>
      <c r="AC336" s="326"/>
      <c r="AD336" s="327"/>
    </row>
    <row r="337" spans="1:30" ht="30.5" customHeight="1">
      <c r="A337" s="56"/>
      <c r="B337" s="56"/>
      <c r="C337" s="56"/>
      <c r="D337" s="23" t="s">
        <v>606</v>
      </c>
      <c r="E337" s="42">
        <v>0</v>
      </c>
      <c r="F337" s="42">
        <v>0</v>
      </c>
      <c r="G337" s="42">
        <v>0</v>
      </c>
      <c r="H337" s="42">
        <v>0</v>
      </c>
      <c r="I337" s="42">
        <v>0</v>
      </c>
      <c r="J337" s="42"/>
      <c r="K337" s="42"/>
      <c r="L337" s="42"/>
      <c r="M337" s="150">
        <f t="shared" si="17"/>
        <v>0</v>
      </c>
      <c r="N337" s="45" t="s">
        <v>153</v>
      </c>
      <c r="O337" s="45" t="s">
        <v>759</v>
      </c>
      <c r="P337" s="325" t="s">
        <v>368</v>
      </c>
      <c r="Q337" s="326"/>
      <c r="R337" s="326"/>
      <c r="S337" s="326"/>
      <c r="T337" s="326"/>
      <c r="U337" s="326"/>
      <c r="V337" s="326"/>
      <c r="W337" s="326"/>
      <c r="X337" s="326"/>
      <c r="Y337" s="326"/>
      <c r="Z337" s="326"/>
      <c r="AA337" s="326"/>
      <c r="AB337" s="326"/>
      <c r="AC337" s="326"/>
      <c r="AD337" s="327"/>
    </row>
    <row r="338" spans="1:30" ht="33" customHeight="1">
      <c r="A338" s="56"/>
      <c r="B338" s="56"/>
      <c r="C338" s="56"/>
      <c r="D338" s="23" t="s">
        <v>607</v>
      </c>
      <c r="E338" s="42">
        <v>0</v>
      </c>
      <c r="F338" s="42">
        <v>0</v>
      </c>
      <c r="G338" s="42">
        <v>0</v>
      </c>
      <c r="H338" s="42">
        <v>0</v>
      </c>
      <c r="I338" s="42">
        <v>0</v>
      </c>
      <c r="J338" s="42"/>
      <c r="K338" s="42"/>
      <c r="L338" s="42"/>
      <c r="M338" s="150">
        <f t="shared" si="17"/>
        <v>0</v>
      </c>
      <c r="N338" s="45" t="s">
        <v>154</v>
      </c>
      <c r="O338" s="45" t="s">
        <v>760</v>
      </c>
      <c r="P338" s="325" t="s">
        <v>369</v>
      </c>
      <c r="Q338" s="326"/>
      <c r="R338" s="326"/>
      <c r="S338" s="326"/>
      <c r="T338" s="326"/>
      <c r="U338" s="326"/>
      <c r="V338" s="326"/>
      <c r="W338" s="326"/>
      <c r="X338" s="326"/>
      <c r="Y338" s="326"/>
      <c r="Z338" s="326"/>
      <c r="AA338" s="326"/>
      <c r="AB338" s="326"/>
      <c r="AC338" s="326"/>
      <c r="AD338" s="327"/>
    </row>
    <row r="339" spans="1:30">
      <c r="A339" s="56"/>
      <c r="B339" s="56"/>
      <c r="C339" s="56"/>
      <c r="D339" s="23" t="s">
        <v>600</v>
      </c>
      <c r="E339" s="42">
        <v>0</v>
      </c>
      <c r="F339" s="42">
        <v>0</v>
      </c>
      <c r="G339" s="42">
        <v>0</v>
      </c>
      <c r="H339" s="42">
        <v>0</v>
      </c>
      <c r="I339" s="42">
        <v>0</v>
      </c>
      <c r="J339" s="42"/>
      <c r="K339" s="42"/>
      <c r="L339" s="42"/>
      <c r="M339" s="150">
        <f t="shared" si="17"/>
        <v>0</v>
      </c>
      <c r="N339" s="45" t="s">
        <v>155</v>
      </c>
      <c r="O339" s="45" t="s">
        <v>761</v>
      </c>
      <c r="P339" s="7"/>
    </row>
    <row r="340" spans="1:30">
      <c r="A340" s="56"/>
      <c r="B340" s="56"/>
      <c r="C340" s="56"/>
      <c r="D340" s="23" t="s">
        <v>601</v>
      </c>
      <c r="E340" s="42">
        <v>0</v>
      </c>
      <c r="F340" s="42">
        <v>0</v>
      </c>
      <c r="G340" s="42">
        <v>0</v>
      </c>
      <c r="H340" s="42">
        <v>0</v>
      </c>
      <c r="I340" s="42">
        <v>0</v>
      </c>
      <c r="J340" s="42">
        <v>0</v>
      </c>
      <c r="K340" s="42">
        <v>0</v>
      </c>
      <c r="L340" s="42">
        <v>0</v>
      </c>
      <c r="M340" s="150">
        <f t="shared" si="17"/>
        <v>0</v>
      </c>
      <c r="N340" s="45" t="s">
        <v>156</v>
      </c>
      <c r="O340" s="45" t="s">
        <v>762</v>
      </c>
      <c r="P340" s="7"/>
    </row>
    <row r="341" spans="1:30">
      <c r="A341" s="56"/>
      <c r="B341" s="56"/>
      <c r="C341" s="56"/>
      <c r="D341" s="23" t="s">
        <v>602</v>
      </c>
      <c r="E341" s="42">
        <v>0</v>
      </c>
      <c r="F341" s="42">
        <v>0</v>
      </c>
      <c r="G341" s="42">
        <v>0</v>
      </c>
      <c r="H341" s="42">
        <v>0</v>
      </c>
      <c r="I341" s="42">
        <v>0</v>
      </c>
      <c r="J341" s="42">
        <v>0</v>
      </c>
      <c r="K341" s="42">
        <v>0</v>
      </c>
      <c r="L341" s="42">
        <v>0</v>
      </c>
      <c r="M341" s="150">
        <f>SUM(E341:L341)</f>
        <v>0</v>
      </c>
      <c r="N341" s="45" t="s">
        <v>157</v>
      </c>
      <c r="O341" s="45" t="s">
        <v>763</v>
      </c>
      <c r="P341" s="7"/>
    </row>
    <row r="342" spans="1:30" ht="15.5" customHeight="1">
      <c r="A342" s="56"/>
      <c r="B342" s="56"/>
      <c r="C342" s="56"/>
      <c r="D342" s="23" t="s">
        <v>603</v>
      </c>
      <c r="E342" s="42">
        <v>0</v>
      </c>
      <c r="F342" s="42">
        <v>0</v>
      </c>
      <c r="G342" s="42">
        <v>0</v>
      </c>
      <c r="H342" s="42">
        <v>0</v>
      </c>
      <c r="I342" s="42">
        <v>0</v>
      </c>
      <c r="J342" s="42">
        <v>0</v>
      </c>
      <c r="K342" s="42">
        <v>0</v>
      </c>
      <c r="L342" s="42">
        <v>0</v>
      </c>
      <c r="M342" s="150">
        <f t="shared" si="17"/>
        <v>0</v>
      </c>
      <c r="N342" s="45" t="s">
        <v>159</v>
      </c>
      <c r="O342" s="45" t="s">
        <v>764</v>
      </c>
      <c r="P342" s="7"/>
    </row>
    <row r="343" spans="1:30" ht="37" customHeight="1">
      <c r="A343" s="56"/>
      <c r="B343" s="56"/>
      <c r="C343" s="56"/>
      <c r="D343" s="175" t="s">
        <v>767</v>
      </c>
      <c r="E343" s="181">
        <f>E325+SUM(E327:E342)</f>
        <v>3456</v>
      </c>
      <c r="F343" s="181">
        <f t="shared" ref="F343:M343" si="18">F325+SUM(F327:F342)</f>
        <v>0</v>
      </c>
      <c r="G343" s="181">
        <f t="shared" si="18"/>
        <v>0</v>
      </c>
      <c r="H343" s="181">
        <f t="shared" si="18"/>
        <v>0</v>
      </c>
      <c r="I343" s="181">
        <f t="shared" si="18"/>
        <v>0</v>
      </c>
      <c r="J343" s="181">
        <f t="shared" si="18"/>
        <v>0</v>
      </c>
      <c r="K343" s="181">
        <f t="shared" si="18"/>
        <v>0</v>
      </c>
      <c r="L343" s="181">
        <f t="shared" si="18"/>
        <v>0</v>
      </c>
      <c r="M343" s="184">
        <f t="shared" si="18"/>
        <v>3456</v>
      </c>
      <c r="N343" s="45" t="s">
        <v>128</v>
      </c>
      <c r="O343" s="45" t="s">
        <v>359</v>
      </c>
      <c r="P343" s="325" t="s">
        <v>370</v>
      </c>
      <c r="Q343" s="326"/>
      <c r="R343" s="326"/>
      <c r="S343" s="326"/>
      <c r="T343" s="326"/>
      <c r="U343" s="326"/>
      <c r="V343" s="326"/>
      <c r="W343" s="326"/>
      <c r="X343" s="326"/>
      <c r="Y343" s="326"/>
      <c r="Z343" s="326"/>
      <c r="AA343" s="326"/>
      <c r="AB343" s="326"/>
      <c r="AC343" s="326"/>
      <c r="AD343" s="327"/>
    </row>
    <row r="344" spans="1:30">
      <c r="A344" s="56"/>
      <c r="B344" s="56"/>
      <c r="C344" s="56"/>
      <c r="D344" s="43" t="s">
        <v>768</v>
      </c>
      <c r="E344" s="42">
        <v>0</v>
      </c>
      <c r="F344" s="42">
        <v>0</v>
      </c>
      <c r="G344" s="42">
        <v>0</v>
      </c>
      <c r="H344" s="42">
        <v>0</v>
      </c>
      <c r="I344" s="42"/>
      <c r="J344" s="42"/>
      <c r="K344" s="42"/>
      <c r="L344" s="42"/>
      <c r="M344" s="150">
        <f>SUM(E344:L344)</f>
        <v>0</v>
      </c>
      <c r="N344" s="45" t="s">
        <v>130</v>
      </c>
      <c r="O344" s="45" t="s">
        <v>371</v>
      </c>
    </row>
    <row r="345" spans="1:30" ht="31">
      <c r="A345" s="56"/>
      <c r="B345" s="56"/>
      <c r="C345" s="56"/>
      <c r="D345" s="43" t="s">
        <v>770</v>
      </c>
      <c r="E345" s="42">
        <v>0</v>
      </c>
      <c r="F345" s="42">
        <v>0</v>
      </c>
      <c r="G345" s="42">
        <v>0</v>
      </c>
      <c r="H345" s="42">
        <v>0</v>
      </c>
      <c r="I345" s="42">
        <v>0</v>
      </c>
      <c r="J345" s="42">
        <v>0</v>
      </c>
      <c r="K345" s="42">
        <v>0</v>
      </c>
      <c r="L345" s="42">
        <v>0</v>
      </c>
      <c r="M345" s="150">
        <f>SUM(E345:L345)</f>
        <v>0</v>
      </c>
      <c r="N345" s="45" t="s">
        <v>132</v>
      </c>
      <c r="O345" s="45" t="s">
        <v>372</v>
      </c>
    </row>
    <row r="346" spans="1:30" ht="16" thickBot="1">
      <c r="A346" s="56"/>
      <c r="B346" s="56"/>
      <c r="C346" s="56"/>
      <c r="D346" s="176" t="s">
        <v>769</v>
      </c>
      <c r="E346" s="185">
        <f>+E343+E344+E345</f>
        <v>3456</v>
      </c>
      <c r="F346" s="185">
        <f t="shared" ref="F346:M346" si="19">+F343+F344+F345</f>
        <v>0</v>
      </c>
      <c r="G346" s="185">
        <f t="shared" si="19"/>
        <v>0</v>
      </c>
      <c r="H346" s="185">
        <f t="shared" si="19"/>
        <v>0</v>
      </c>
      <c r="I346" s="185">
        <f t="shared" si="19"/>
        <v>0</v>
      </c>
      <c r="J346" s="185">
        <f t="shared" si="19"/>
        <v>0</v>
      </c>
      <c r="K346" s="185">
        <f t="shared" si="19"/>
        <v>0</v>
      </c>
      <c r="L346" s="185">
        <f t="shared" si="19"/>
        <v>0</v>
      </c>
      <c r="M346" s="186">
        <f t="shared" si="19"/>
        <v>3456</v>
      </c>
      <c r="N346" s="45" t="s">
        <v>343</v>
      </c>
      <c r="O346" s="45" t="s">
        <v>373</v>
      </c>
    </row>
    <row r="347" spans="1:30" ht="16" thickBot="1">
      <c r="A347" s="56"/>
      <c r="B347" s="56"/>
      <c r="C347" s="56"/>
      <c r="D347" s="4"/>
      <c r="E347" s="182"/>
      <c r="F347" s="182"/>
      <c r="G347" s="182"/>
      <c r="H347" s="182"/>
      <c r="I347" s="182"/>
      <c r="J347" s="182"/>
      <c r="K347" s="182"/>
      <c r="L347" s="182"/>
      <c r="M347" s="182"/>
      <c r="N347" s="56"/>
    </row>
    <row r="348" spans="1:30" ht="16" thickBot="1">
      <c r="A348" s="56"/>
      <c r="B348" s="56"/>
      <c r="C348" s="56"/>
      <c r="D348" s="296" t="s">
        <v>376</v>
      </c>
      <c r="E348" s="297"/>
      <c r="F348" s="297"/>
      <c r="G348" s="297"/>
      <c r="H348" s="297"/>
      <c r="I348" s="297"/>
      <c r="J348" s="297"/>
      <c r="K348" s="297"/>
      <c r="L348" s="297"/>
      <c r="M348" s="45" t="s">
        <v>375</v>
      </c>
    </row>
    <row r="349" spans="1:30" ht="16" thickBot="1">
      <c r="A349" s="56"/>
      <c r="B349" s="56"/>
      <c r="C349" s="56"/>
      <c r="D349" s="191" t="s">
        <v>377</v>
      </c>
      <c r="E349" s="192" t="str">
        <f>+E324</f>
        <v>Nord Stream AG (Stateless Permanent Establishment Sweden)</v>
      </c>
      <c r="F349" s="192">
        <f t="shared" ref="F349:L349" si="20">+F324</f>
        <v>0</v>
      </c>
      <c r="G349" s="192">
        <f t="shared" si="20"/>
        <v>0</v>
      </c>
      <c r="H349" s="192">
        <f t="shared" si="20"/>
        <v>0</v>
      </c>
      <c r="I349" s="192">
        <f t="shared" si="20"/>
        <v>0</v>
      </c>
      <c r="J349" s="192">
        <f t="shared" si="20"/>
        <v>0</v>
      </c>
      <c r="K349" s="192">
        <f t="shared" si="20"/>
        <v>0</v>
      </c>
      <c r="L349" s="192">
        <f t="shared" si="20"/>
        <v>0</v>
      </c>
      <c r="M349" s="45" t="s">
        <v>245</v>
      </c>
      <c r="O349" s="14"/>
    </row>
    <row r="350" spans="1:30" ht="16" thickBot="1">
      <c r="A350" s="56"/>
      <c r="B350" s="56"/>
      <c r="C350" s="56"/>
      <c r="D350" s="376" t="s">
        <v>809</v>
      </c>
      <c r="E350" s="377"/>
      <c r="F350" s="377"/>
      <c r="G350" s="377"/>
      <c r="H350" s="377"/>
      <c r="I350" s="377"/>
      <c r="J350" s="377"/>
      <c r="K350" s="377"/>
      <c r="L350" s="378"/>
      <c r="M350" s="45"/>
      <c r="O350" s="14"/>
    </row>
    <row r="351" spans="1:30">
      <c r="A351" s="56"/>
      <c r="B351" s="56"/>
      <c r="C351" s="56"/>
      <c r="D351" s="193" t="s">
        <v>810</v>
      </c>
      <c r="E351" s="194" t="s">
        <v>650</v>
      </c>
      <c r="F351" s="194" t="s">
        <v>648</v>
      </c>
      <c r="G351" s="194" t="s">
        <v>648</v>
      </c>
      <c r="H351" s="194" t="s">
        <v>648</v>
      </c>
      <c r="I351" s="194" t="s">
        <v>648</v>
      </c>
      <c r="J351" s="194" t="s">
        <v>648</v>
      </c>
      <c r="K351" s="194" t="s">
        <v>648</v>
      </c>
      <c r="L351" s="195" t="s">
        <v>648</v>
      </c>
      <c r="M351" s="45" t="s">
        <v>383</v>
      </c>
      <c r="N351" s="56"/>
      <c r="O351" s="325" t="s">
        <v>384</v>
      </c>
      <c r="P351" s="326"/>
      <c r="Q351" s="326"/>
      <c r="R351" s="326"/>
      <c r="S351" s="326"/>
      <c r="T351" s="326"/>
      <c r="U351" s="326"/>
      <c r="V351" s="326"/>
      <c r="W351" s="326"/>
      <c r="X351" s="326"/>
      <c r="Y351" s="326"/>
      <c r="Z351" s="326"/>
      <c r="AA351" s="326"/>
      <c r="AB351" s="326"/>
      <c r="AC351" s="327"/>
    </row>
    <row r="352" spans="1:30" ht="15" customHeight="1">
      <c r="A352" s="56"/>
      <c r="B352" s="56"/>
      <c r="C352" s="56"/>
      <c r="D352" s="196" t="s">
        <v>386</v>
      </c>
      <c r="E352" s="42" t="s">
        <v>650</v>
      </c>
      <c r="F352" s="42" t="s">
        <v>648</v>
      </c>
      <c r="G352" s="42" t="s">
        <v>648</v>
      </c>
      <c r="H352" s="42" t="s">
        <v>648</v>
      </c>
      <c r="I352" s="42" t="s">
        <v>648</v>
      </c>
      <c r="J352" s="42" t="s">
        <v>648</v>
      </c>
      <c r="K352" s="42" t="s">
        <v>648</v>
      </c>
      <c r="L352" s="41" t="s">
        <v>648</v>
      </c>
      <c r="M352" s="45" t="s">
        <v>385</v>
      </c>
      <c r="N352" s="56"/>
      <c r="O352" s="7"/>
    </row>
    <row r="353" spans="1:29" ht="15" customHeight="1" thickBot="1">
      <c r="A353" s="56"/>
      <c r="B353" s="56"/>
      <c r="C353" s="56"/>
      <c r="D353" s="197" t="s">
        <v>811</v>
      </c>
      <c r="E353" s="106" t="s">
        <v>650</v>
      </c>
      <c r="F353" s="106" t="s">
        <v>648</v>
      </c>
      <c r="G353" s="106" t="s">
        <v>648</v>
      </c>
      <c r="H353" s="106" t="s">
        <v>648</v>
      </c>
      <c r="I353" s="106" t="s">
        <v>648</v>
      </c>
      <c r="J353" s="106" t="s">
        <v>648</v>
      </c>
      <c r="K353" s="106" t="s">
        <v>648</v>
      </c>
      <c r="L353" s="99" t="s">
        <v>648</v>
      </c>
      <c r="M353" s="56"/>
      <c r="N353" s="56"/>
      <c r="O353" s="7"/>
    </row>
    <row r="354" spans="1:29" ht="15" customHeight="1" thickBot="1">
      <c r="A354" s="56"/>
      <c r="B354" s="56"/>
      <c r="C354" s="56"/>
      <c r="D354" s="376" t="s">
        <v>812</v>
      </c>
      <c r="E354" s="377"/>
      <c r="F354" s="377"/>
      <c r="G354" s="377"/>
      <c r="H354" s="377"/>
      <c r="I354" s="377"/>
      <c r="J354" s="377"/>
      <c r="K354" s="377"/>
      <c r="L354" s="378"/>
      <c r="M354" s="56"/>
      <c r="N354" s="56"/>
      <c r="O354" s="7"/>
    </row>
    <row r="355" spans="1:29" ht="15" customHeight="1">
      <c r="A355" s="56"/>
      <c r="B355" s="56"/>
      <c r="C355" s="56"/>
      <c r="D355" s="193" t="s">
        <v>813</v>
      </c>
      <c r="E355" s="194" t="s">
        <v>650</v>
      </c>
      <c r="F355" s="194" t="s">
        <v>650</v>
      </c>
      <c r="G355" s="194" t="s">
        <v>650</v>
      </c>
      <c r="H355" s="194" t="s">
        <v>650</v>
      </c>
      <c r="I355" s="194" t="s">
        <v>650</v>
      </c>
      <c r="J355" s="194" t="s">
        <v>648</v>
      </c>
      <c r="K355" s="194" t="s">
        <v>648</v>
      </c>
      <c r="L355" s="195" t="s">
        <v>648</v>
      </c>
      <c r="M355" s="45" t="s">
        <v>378</v>
      </c>
      <c r="O355" s="14"/>
    </row>
    <row r="356" spans="1:29" ht="15" customHeight="1">
      <c r="A356" s="56"/>
      <c r="B356" s="56"/>
      <c r="C356" s="56"/>
      <c r="D356" s="93" t="s">
        <v>380</v>
      </c>
      <c r="E356" s="42" t="s">
        <v>819</v>
      </c>
      <c r="F356" s="42" t="s">
        <v>819</v>
      </c>
      <c r="G356" s="42" t="s">
        <v>819</v>
      </c>
      <c r="H356" s="42" t="s">
        <v>819</v>
      </c>
      <c r="I356" s="42" t="s">
        <v>819</v>
      </c>
      <c r="J356" s="42" t="s">
        <v>819</v>
      </c>
      <c r="K356" s="42" t="s">
        <v>819</v>
      </c>
      <c r="L356" s="42" t="s">
        <v>819</v>
      </c>
      <c r="M356" s="45" t="s">
        <v>379</v>
      </c>
      <c r="N356" s="56"/>
      <c r="O356" s="7"/>
      <c r="P356" s="7"/>
      <c r="Q356" s="7"/>
      <c r="R356" s="7"/>
      <c r="S356" s="7"/>
      <c r="T356" s="7"/>
      <c r="U356" s="7"/>
      <c r="V356" s="7"/>
      <c r="W356" s="7"/>
      <c r="X356" s="7"/>
      <c r="Y356" s="7"/>
      <c r="Z356" s="7"/>
      <c r="AA356" s="7"/>
      <c r="AB356" s="7"/>
    </row>
    <row r="357" spans="1:29" ht="15" customHeight="1" thickBot="1">
      <c r="A357" s="56"/>
      <c r="B357" s="56"/>
      <c r="C357" s="56"/>
      <c r="D357" s="158" t="s">
        <v>382</v>
      </c>
      <c r="E357" s="106" t="s">
        <v>820</v>
      </c>
      <c r="F357" s="106" t="s">
        <v>820</v>
      </c>
      <c r="G357" s="106" t="s">
        <v>820</v>
      </c>
      <c r="H357" s="106" t="s">
        <v>820</v>
      </c>
      <c r="I357" s="106" t="s">
        <v>820</v>
      </c>
      <c r="J357" s="106" t="s">
        <v>820</v>
      </c>
      <c r="K357" s="106" t="s">
        <v>820</v>
      </c>
      <c r="L357" s="106" t="s">
        <v>820</v>
      </c>
      <c r="M357" s="45" t="s">
        <v>381</v>
      </c>
      <c r="N357" s="7"/>
    </row>
    <row r="358" spans="1:29" ht="15" customHeight="1">
      <c r="A358" s="56"/>
      <c r="B358" s="56"/>
      <c r="C358" s="56"/>
      <c r="D358" s="193" t="s">
        <v>814</v>
      </c>
      <c r="E358" s="194" t="s">
        <v>650</v>
      </c>
      <c r="F358" s="194" t="s">
        <v>650</v>
      </c>
      <c r="G358" s="194" t="s">
        <v>650</v>
      </c>
      <c r="H358" s="194" t="s">
        <v>650</v>
      </c>
      <c r="I358" s="194" t="s">
        <v>650</v>
      </c>
      <c r="J358" s="194" t="s">
        <v>648</v>
      </c>
      <c r="K358" s="194" t="s">
        <v>648</v>
      </c>
      <c r="L358" s="195" t="s">
        <v>648</v>
      </c>
      <c r="M358" s="45" t="s">
        <v>387</v>
      </c>
      <c r="N358" s="56"/>
      <c r="O358" s="7"/>
    </row>
    <row r="359" spans="1:29" ht="15" customHeight="1">
      <c r="A359" s="56"/>
      <c r="B359" s="56"/>
      <c r="C359" s="56"/>
      <c r="D359" s="93" t="s">
        <v>380</v>
      </c>
      <c r="E359" s="42" t="s">
        <v>819</v>
      </c>
      <c r="F359" s="42" t="s">
        <v>819</v>
      </c>
      <c r="G359" s="42" t="s">
        <v>819</v>
      </c>
      <c r="H359" s="42" t="s">
        <v>819</v>
      </c>
      <c r="I359" s="42" t="s">
        <v>819</v>
      </c>
      <c r="J359" s="42" t="s">
        <v>819</v>
      </c>
      <c r="K359" s="42" t="s">
        <v>819</v>
      </c>
      <c r="L359" s="42" t="s">
        <v>819</v>
      </c>
      <c r="M359" s="45" t="s">
        <v>379</v>
      </c>
      <c r="N359" s="56"/>
      <c r="O359" s="7"/>
    </row>
    <row r="360" spans="1:29" ht="15" customHeight="1" thickBot="1">
      <c r="A360" s="56"/>
      <c r="B360" s="56"/>
      <c r="C360" s="56"/>
      <c r="D360" s="158" t="s">
        <v>382</v>
      </c>
      <c r="E360" s="106" t="s">
        <v>820</v>
      </c>
      <c r="F360" s="106" t="s">
        <v>820</v>
      </c>
      <c r="G360" s="106" t="s">
        <v>820</v>
      </c>
      <c r="H360" s="106" t="s">
        <v>820</v>
      </c>
      <c r="I360" s="106" t="s">
        <v>820</v>
      </c>
      <c r="J360" s="106" t="s">
        <v>820</v>
      </c>
      <c r="K360" s="106" t="s">
        <v>820</v>
      </c>
      <c r="L360" s="106" t="s">
        <v>820</v>
      </c>
      <c r="M360" s="45" t="s">
        <v>381</v>
      </c>
      <c r="N360" s="56"/>
      <c r="O360" s="7"/>
    </row>
    <row r="361" spans="1:29">
      <c r="A361" s="56"/>
      <c r="B361" s="56"/>
      <c r="C361" s="56"/>
      <c r="D361" s="193" t="s">
        <v>816</v>
      </c>
      <c r="E361" s="194" t="s">
        <v>650</v>
      </c>
      <c r="F361" s="194" t="s">
        <v>650</v>
      </c>
      <c r="G361" s="194" t="s">
        <v>650</v>
      </c>
      <c r="H361" s="194" t="s">
        <v>650</v>
      </c>
      <c r="I361" s="194" t="s">
        <v>650</v>
      </c>
      <c r="J361" s="194" t="s">
        <v>648</v>
      </c>
      <c r="K361" s="194" t="s">
        <v>648</v>
      </c>
      <c r="L361" s="195" t="s">
        <v>648</v>
      </c>
      <c r="M361" s="45" t="s">
        <v>388</v>
      </c>
      <c r="N361" s="56"/>
      <c r="O361" s="7"/>
    </row>
    <row r="362" spans="1:29" ht="15" customHeight="1">
      <c r="A362" s="56"/>
      <c r="B362" s="56"/>
      <c r="C362" s="56"/>
      <c r="D362" s="93" t="s">
        <v>380</v>
      </c>
      <c r="E362" s="42" t="s">
        <v>819</v>
      </c>
      <c r="F362" s="42" t="s">
        <v>819</v>
      </c>
      <c r="G362" s="42" t="s">
        <v>819</v>
      </c>
      <c r="H362" s="42" t="s">
        <v>819</v>
      </c>
      <c r="I362" s="42" t="s">
        <v>819</v>
      </c>
      <c r="J362" s="42" t="s">
        <v>819</v>
      </c>
      <c r="K362" s="42" t="s">
        <v>819</v>
      </c>
      <c r="L362" s="42" t="s">
        <v>819</v>
      </c>
      <c r="M362" s="45" t="s">
        <v>379</v>
      </c>
      <c r="N362" s="56"/>
      <c r="O362" s="7"/>
    </row>
    <row r="363" spans="1:29" ht="15" customHeight="1" thickBot="1">
      <c r="A363" s="56"/>
      <c r="B363" s="56"/>
      <c r="C363" s="56"/>
      <c r="D363" s="158" t="s">
        <v>382</v>
      </c>
      <c r="E363" s="106" t="s">
        <v>820</v>
      </c>
      <c r="F363" s="106" t="s">
        <v>820</v>
      </c>
      <c r="G363" s="106" t="s">
        <v>820</v>
      </c>
      <c r="H363" s="106" t="s">
        <v>820</v>
      </c>
      <c r="I363" s="106" t="s">
        <v>820</v>
      </c>
      <c r="J363" s="106" t="s">
        <v>820</v>
      </c>
      <c r="K363" s="106" t="s">
        <v>820</v>
      </c>
      <c r="L363" s="106" t="s">
        <v>820</v>
      </c>
      <c r="M363" s="45" t="s">
        <v>381</v>
      </c>
      <c r="N363" s="56"/>
      <c r="O363" s="7"/>
    </row>
    <row r="364" spans="1:29" ht="15" customHeight="1">
      <c r="A364" s="56"/>
      <c r="B364" s="56"/>
      <c r="C364" s="56"/>
      <c r="D364" s="193" t="s">
        <v>399</v>
      </c>
      <c r="E364" s="194" t="s">
        <v>650</v>
      </c>
      <c r="F364" s="194" t="s">
        <v>650</v>
      </c>
      <c r="G364" s="194" t="s">
        <v>650</v>
      </c>
      <c r="H364" s="194" t="s">
        <v>650</v>
      </c>
      <c r="I364" s="194" t="s">
        <v>650</v>
      </c>
      <c r="J364" s="194" t="s">
        <v>648</v>
      </c>
      <c r="K364" s="194" t="s">
        <v>648</v>
      </c>
      <c r="L364" s="195" t="s">
        <v>648</v>
      </c>
      <c r="M364" s="45" t="s">
        <v>398</v>
      </c>
      <c r="N364" s="56"/>
      <c r="O364" s="328" t="s">
        <v>400</v>
      </c>
      <c r="P364" s="329"/>
      <c r="Q364" s="329"/>
      <c r="R364" s="329"/>
      <c r="S364" s="329"/>
      <c r="T364" s="329"/>
      <c r="U364" s="329"/>
      <c r="V364" s="329"/>
      <c r="W364" s="329"/>
      <c r="X364" s="329"/>
      <c r="Y364" s="329"/>
      <c r="Z364" s="329"/>
      <c r="AA364" s="329"/>
      <c r="AB364" s="329"/>
      <c r="AC364" s="330"/>
    </row>
    <row r="365" spans="1:29" ht="15" customHeight="1">
      <c r="A365" s="56"/>
      <c r="B365" s="56"/>
      <c r="C365" s="56"/>
      <c r="D365" s="93" t="s">
        <v>380</v>
      </c>
      <c r="E365" s="42" t="s">
        <v>819</v>
      </c>
      <c r="F365" s="42" t="s">
        <v>819</v>
      </c>
      <c r="G365" s="42" t="s">
        <v>819</v>
      </c>
      <c r="H365" s="42" t="s">
        <v>819</v>
      </c>
      <c r="I365" s="42" t="s">
        <v>819</v>
      </c>
      <c r="J365" s="42" t="s">
        <v>819</v>
      </c>
      <c r="K365" s="42" t="s">
        <v>819</v>
      </c>
      <c r="L365" s="42" t="s">
        <v>819</v>
      </c>
      <c r="M365" s="45" t="s">
        <v>379</v>
      </c>
      <c r="N365" s="56"/>
      <c r="O365" s="331"/>
      <c r="P365" s="332"/>
      <c r="Q365" s="332"/>
      <c r="R365" s="332"/>
      <c r="S365" s="332"/>
      <c r="T365" s="332"/>
      <c r="U365" s="332"/>
      <c r="V365" s="332"/>
      <c r="W365" s="332"/>
      <c r="X365" s="332"/>
      <c r="Y365" s="332"/>
      <c r="Z365" s="332"/>
      <c r="AA365" s="332"/>
      <c r="AB365" s="332"/>
      <c r="AC365" s="333"/>
    </row>
    <row r="366" spans="1:29" ht="15" customHeight="1" thickBot="1">
      <c r="A366" s="56"/>
      <c r="B366" s="56"/>
      <c r="C366" s="56"/>
      <c r="D366" s="158" t="s">
        <v>382</v>
      </c>
      <c r="E366" s="106" t="s">
        <v>820</v>
      </c>
      <c r="F366" s="106" t="s">
        <v>820</v>
      </c>
      <c r="G366" s="106" t="s">
        <v>820</v>
      </c>
      <c r="H366" s="106" t="s">
        <v>820</v>
      </c>
      <c r="I366" s="106" t="s">
        <v>820</v>
      </c>
      <c r="J366" s="106" t="s">
        <v>820</v>
      </c>
      <c r="K366" s="106" t="s">
        <v>820</v>
      </c>
      <c r="L366" s="106" t="s">
        <v>820</v>
      </c>
      <c r="M366" s="45" t="s">
        <v>381</v>
      </c>
      <c r="N366" s="56"/>
      <c r="O366" s="331"/>
      <c r="P366" s="332"/>
      <c r="Q366" s="332"/>
      <c r="R366" s="332"/>
      <c r="S366" s="332"/>
      <c r="T366" s="332"/>
      <c r="U366" s="332"/>
      <c r="V366" s="332"/>
      <c r="W366" s="332"/>
      <c r="X366" s="332"/>
      <c r="Y366" s="332"/>
      <c r="Z366" s="332"/>
      <c r="AA366" s="332"/>
      <c r="AB366" s="332"/>
      <c r="AC366" s="333"/>
    </row>
    <row r="367" spans="1:29" ht="14" customHeight="1">
      <c r="A367" s="56"/>
      <c r="B367" s="56"/>
      <c r="C367" s="56"/>
      <c r="D367" s="198" t="s">
        <v>817</v>
      </c>
      <c r="E367" s="194" t="s">
        <v>650</v>
      </c>
      <c r="F367" s="194" t="s">
        <v>650</v>
      </c>
      <c r="G367" s="194" t="s">
        <v>650</v>
      </c>
      <c r="H367" s="194" t="s">
        <v>650</v>
      </c>
      <c r="I367" s="194" t="s">
        <v>650</v>
      </c>
      <c r="J367" s="194" t="s">
        <v>648</v>
      </c>
      <c r="K367" s="194" t="s">
        <v>648</v>
      </c>
      <c r="L367" s="195" t="s">
        <v>648</v>
      </c>
      <c r="M367" s="45" t="s">
        <v>401</v>
      </c>
      <c r="N367" s="56"/>
      <c r="O367" s="334" t="s">
        <v>402</v>
      </c>
      <c r="P367" s="335"/>
      <c r="Q367" s="335"/>
      <c r="R367" s="335"/>
      <c r="S367" s="335"/>
      <c r="T367" s="335"/>
      <c r="U367" s="335"/>
      <c r="V367" s="335"/>
      <c r="W367" s="335"/>
      <c r="X367" s="335"/>
      <c r="Y367" s="335"/>
      <c r="Z367" s="335"/>
      <c r="AA367" s="335"/>
      <c r="AB367" s="335"/>
      <c r="AC367" s="336"/>
    </row>
    <row r="368" spans="1:29" ht="15" customHeight="1">
      <c r="A368" s="56"/>
      <c r="B368" s="56"/>
      <c r="C368" s="56"/>
      <c r="D368" s="93" t="s">
        <v>380</v>
      </c>
      <c r="E368" s="42" t="s">
        <v>819</v>
      </c>
      <c r="F368" s="42" t="s">
        <v>819</v>
      </c>
      <c r="G368" s="42" t="s">
        <v>819</v>
      </c>
      <c r="H368" s="42" t="s">
        <v>819</v>
      </c>
      <c r="I368" s="42" t="s">
        <v>819</v>
      </c>
      <c r="J368" s="42" t="s">
        <v>819</v>
      </c>
      <c r="K368" s="42" t="s">
        <v>819</v>
      </c>
      <c r="L368" s="42" t="s">
        <v>819</v>
      </c>
      <c r="M368" s="45" t="s">
        <v>379</v>
      </c>
      <c r="N368" s="56"/>
      <c r="O368" s="337"/>
      <c r="P368" s="338"/>
      <c r="Q368" s="338"/>
      <c r="R368" s="338"/>
      <c r="S368" s="338"/>
      <c r="T368" s="338"/>
      <c r="U368" s="338"/>
      <c r="V368" s="338"/>
      <c r="W368" s="338"/>
      <c r="X368" s="338"/>
      <c r="Y368" s="338"/>
      <c r="Z368" s="338"/>
      <c r="AA368" s="338"/>
      <c r="AB368" s="338"/>
      <c r="AC368" s="339"/>
    </row>
    <row r="369" spans="1:29" ht="15" customHeight="1" thickBot="1">
      <c r="A369" s="56"/>
      <c r="B369" s="56"/>
      <c r="C369" s="56"/>
      <c r="D369" s="199" t="s">
        <v>382</v>
      </c>
      <c r="E369" s="106" t="s">
        <v>820</v>
      </c>
      <c r="F369" s="106" t="s">
        <v>820</v>
      </c>
      <c r="G369" s="106" t="s">
        <v>820</v>
      </c>
      <c r="H369" s="106" t="s">
        <v>820</v>
      </c>
      <c r="I369" s="106" t="s">
        <v>820</v>
      </c>
      <c r="J369" s="106" t="s">
        <v>820</v>
      </c>
      <c r="K369" s="106" t="s">
        <v>820</v>
      </c>
      <c r="L369" s="106" t="s">
        <v>820</v>
      </c>
      <c r="M369" s="45" t="s">
        <v>381</v>
      </c>
      <c r="N369" s="56"/>
      <c r="O369" s="337"/>
      <c r="P369" s="338"/>
      <c r="Q369" s="338"/>
      <c r="R369" s="338"/>
      <c r="S369" s="338"/>
      <c r="T369" s="338"/>
      <c r="U369" s="338"/>
      <c r="V369" s="338"/>
      <c r="W369" s="338"/>
      <c r="X369" s="338"/>
      <c r="Y369" s="338"/>
      <c r="Z369" s="338"/>
      <c r="AA369" s="338"/>
      <c r="AB369" s="338"/>
      <c r="AC369" s="339"/>
    </row>
    <row r="370" spans="1:29" ht="15" customHeight="1">
      <c r="A370" s="56"/>
      <c r="B370" s="56"/>
      <c r="C370" s="56"/>
      <c r="D370" s="200" t="s">
        <v>815</v>
      </c>
      <c r="E370" s="194" t="s">
        <v>650</v>
      </c>
      <c r="F370" s="194" t="s">
        <v>650</v>
      </c>
      <c r="G370" s="194" t="s">
        <v>650</v>
      </c>
      <c r="H370" s="194" t="s">
        <v>650</v>
      </c>
      <c r="I370" s="194" t="s">
        <v>650</v>
      </c>
      <c r="J370" s="194" t="s">
        <v>648</v>
      </c>
      <c r="K370" s="194" t="s">
        <v>648</v>
      </c>
      <c r="L370" s="195" t="s">
        <v>648</v>
      </c>
      <c r="M370" s="45" t="s">
        <v>394</v>
      </c>
      <c r="N370" s="56"/>
      <c r="O370" s="328" t="s">
        <v>395</v>
      </c>
      <c r="P370" s="329"/>
      <c r="Q370" s="329"/>
      <c r="R370" s="329"/>
      <c r="S370" s="329"/>
      <c r="T370" s="329"/>
      <c r="U370" s="329"/>
      <c r="V370" s="329"/>
      <c r="W370" s="329"/>
      <c r="X370" s="329"/>
      <c r="Y370" s="329"/>
      <c r="Z370" s="329"/>
      <c r="AA370" s="329"/>
      <c r="AB370" s="329"/>
      <c r="AC370" s="330"/>
    </row>
    <row r="371" spans="1:29" ht="15" customHeight="1">
      <c r="A371" s="56"/>
      <c r="B371" s="56"/>
      <c r="C371" s="56"/>
      <c r="D371" s="93" t="s">
        <v>380</v>
      </c>
      <c r="E371" s="42" t="s">
        <v>819</v>
      </c>
      <c r="F371" s="42" t="s">
        <v>819</v>
      </c>
      <c r="G371" s="42" t="s">
        <v>819</v>
      </c>
      <c r="H371" s="42" t="s">
        <v>819</v>
      </c>
      <c r="I371" s="42" t="s">
        <v>819</v>
      </c>
      <c r="J371" s="42" t="s">
        <v>819</v>
      </c>
      <c r="K371" s="42" t="s">
        <v>819</v>
      </c>
      <c r="L371" s="42" t="s">
        <v>819</v>
      </c>
      <c r="M371" s="45" t="s">
        <v>379</v>
      </c>
      <c r="N371" s="56"/>
      <c r="O371" s="331"/>
      <c r="P371" s="332"/>
      <c r="Q371" s="332"/>
      <c r="R371" s="332"/>
      <c r="S371" s="332"/>
      <c r="T371" s="332"/>
      <c r="U371" s="332"/>
      <c r="V371" s="332"/>
      <c r="W371" s="332"/>
      <c r="X371" s="332"/>
      <c r="Y371" s="332"/>
      <c r="Z371" s="332"/>
      <c r="AA371" s="332"/>
      <c r="AB371" s="332"/>
      <c r="AC371" s="333"/>
    </row>
    <row r="372" spans="1:29" ht="15" customHeight="1" thickBot="1">
      <c r="A372" s="56"/>
      <c r="B372" s="56"/>
      <c r="C372" s="56"/>
      <c r="D372" s="199" t="s">
        <v>382</v>
      </c>
      <c r="E372" s="106" t="s">
        <v>820</v>
      </c>
      <c r="F372" s="106" t="s">
        <v>820</v>
      </c>
      <c r="G372" s="106" t="s">
        <v>820</v>
      </c>
      <c r="H372" s="106" t="s">
        <v>820</v>
      </c>
      <c r="I372" s="106" t="s">
        <v>820</v>
      </c>
      <c r="J372" s="106" t="s">
        <v>820</v>
      </c>
      <c r="K372" s="106" t="s">
        <v>820</v>
      </c>
      <c r="L372" s="106" t="s">
        <v>820</v>
      </c>
      <c r="M372" s="45" t="s">
        <v>381</v>
      </c>
      <c r="N372" s="56"/>
      <c r="O372" s="340"/>
      <c r="P372" s="341"/>
      <c r="Q372" s="341"/>
      <c r="R372" s="341"/>
      <c r="S372" s="341"/>
      <c r="T372" s="341"/>
      <c r="U372" s="341"/>
      <c r="V372" s="341"/>
      <c r="W372" s="341"/>
      <c r="X372" s="341"/>
      <c r="Y372" s="341"/>
      <c r="Z372" s="341"/>
      <c r="AA372" s="341"/>
      <c r="AB372" s="341"/>
      <c r="AC372" s="342"/>
    </row>
    <row r="373" spans="1:29" ht="15" customHeight="1">
      <c r="A373" s="56"/>
      <c r="B373" s="56"/>
      <c r="C373" s="56"/>
      <c r="D373" s="200" t="s">
        <v>397</v>
      </c>
      <c r="E373" s="194" t="s">
        <v>650</v>
      </c>
      <c r="F373" s="194" t="s">
        <v>650</v>
      </c>
      <c r="G373" s="194" t="s">
        <v>650</v>
      </c>
      <c r="H373" s="194" t="s">
        <v>650</v>
      </c>
      <c r="I373" s="194" t="s">
        <v>650</v>
      </c>
      <c r="J373" s="194" t="s">
        <v>648</v>
      </c>
      <c r="K373" s="194" t="s">
        <v>648</v>
      </c>
      <c r="L373" s="195" t="s">
        <v>648</v>
      </c>
      <c r="M373" s="45" t="s">
        <v>396</v>
      </c>
      <c r="N373" s="56"/>
      <c r="O373" s="328" t="s">
        <v>59</v>
      </c>
      <c r="P373" s="329"/>
      <c r="Q373" s="329"/>
      <c r="R373" s="329"/>
      <c r="S373" s="329"/>
      <c r="T373" s="329"/>
      <c r="U373" s="329"/>
      <c r="V373" s="329"/>
      <c r="W373" s="329"/>
      <c r="X373" s="329"/>
      <c r="Y373" s="329"/>
      <c r="Z373" s="329"/>
      <c r="AA373" s="329"/>
      <c r="AB373" s="329"/>
      <c r="AC373" s="330"/>
    </row>
    <row r="374" spans="1:29" ht="15" customHeight="1">
      <c r="A374" s="56"/>
      <c r="B374" s="56"/>
      <c r="C374" s="56"/>
      <c r="D374" s="93" t="s">
        <v>380</v>
      </c>
      <c r="E374" s="42" t="s">
        <v>819</v>
      </c>
      <c r="F374" s="42" t="s">
        <v>819</v>
      </c>
      <c r="G374" s="42" t="s">
        <v>819</v>
      </c>
      <c r="H374" s="42" t="s">
        <v>819</v>
      </c>
      <c r="I374" s="42" t="s">
        <v>819</v>
      </c>
      <c r="J374" s="42" t="s">
        <v>819</v>
      </c>
      <c r="K374" s="42" t="s">
        <v>819</v>
      </c>
      <c r="L374" s="42" t="s">
        <v>819</v>
      </c>
      <c r="M374" s="45" t="s">
        <v>379</v>
      </c>
      <c r="N374" s="56"/>
      <c r="O374" s="331"/>
      <c r="P374" s="332"/>
      <c r="Q374" s="332"/>
      <c r="R374" s="332"/>
      <c r="S374" s="332"/>
      <c r="T374" s="332"/>
      <c r="U374" s="332"/>
      <c r="V374" s="332"/>
      <c r="W374" s="332"/>
      <c r="X374" s="332"/>
      <c r="Y374" s="332"/>
      <c r="Z374" s="332"/>
      <c r="AA374" s="332"/>
      <c r="AB374" s="332"/>
      <c r="AC374" s="333"/>
    </row>
    <row r="375" spans="1:29" ht="15" customHeight="1" thickBot="1">
      <c r="A375" s="56"/>
      <c r="B375" s="56"/>
      <c r="C375" s="56"/>
      <c r="D375" s="199" t="s">
        <v>382</v>
      </c>
      <c r="E375" s="172" t="s">
        <v>820</v>
      </c>
      <c r="F375" s="172" t="s">
        <v>820</v>
      </c>
      <c r="G375" s="172" t="s">
        <v>820</v>
      </c>
      <c r="H375" s="172" t="s">
        <v>820</v>
      </c>
      <c r="I375" s="172" t="s">
        <v>820</v>
      </c>
      <c r="J375" s="172" t="s">
        <v>820</v>
      </c>
      <c r="K375" s="172" t="s">
        <v>820</v>
      </c>
      <c r="L375" s="172" t="s">
        <v>820</v>
      </c>
      <c r="M375" s="45" t="s">
        <v>381</v>
      </c>
      <c r="N375" s="56"/>
      <c r="O375" s="340"/>
      <c r="P375" s="341"/>
      <c r="Q375" s="341"/>
      <c r="R375" s="341"/>
      <c r="S375" s="341"/>
      <c r="T375" s="341"/>
      <c r="U375" s="341"/>
      <c r="V375" s="341"/>
      <c r="W375" s="341"/>
      <c r="X375" s="341"/>
      <c r="Y375" s="341"/>
      <c r="Z375" s="341"/>
      <c r="AA375" s="341"/>
      <c r="AB375" s="341"/>
      <c r="AC375" s="342"/>
    </row>
    <row r="376" spans="1:29" ht="14" customHeight="1">
      <c r="A376" s="56"/>
      <c r="B376" s="56"/>
      <c r="C376" s="56"/>
      <c r="D376" s="200" t="s">
        <v>390</v>
      </c>
      <c r="E376" s="194" t="s">
        <v>650</v>
      </c>
      <c r="F376" s="194" t="s">
        <v>650</v>
      </c>
      <c r="G376" s="194" t="s">
        <v>650</v>
      </c>
      <c r="H376" s="194" t="s">
        <v>650</v>
      </c>
      <c r="I376" s="194" t="s">
        <v>650</v>
      </c>
      <c r="J376" s="194" t="s">
        <v>648</v>
      </c>
      <c r="K376" s="194" t="s">
        <v>648</v>
      </c>
      <c r="L376" s="195" t="s">
        <v>648</v>
      </c>
      <c r="M376" s="45" t="s">
        <v>389</v>
      </c>
      <c r="N376" s="56"/>
      <c r="O376" s="7"/>
    </row>
    <row r="377" spans="1:29" ht="15" customHeight="1">
      <c r="A377" s="56"/>
      <c r="B377" s="56"/>
      <c r="C377" s="56"/>
      <c r="D377" s="93" t="s">
        <v>392</v>
      </c>
      <c r="E377" s="42" t="s">
        <v>821</v>
      </c>
      <c r="F377" s="42" t="s">
        <v>821</v>
      </c>
      <c r="G377" s="42" t="s">
        <v>821</v>
      </c>
      <c r="H377" s="42" t="s">
        <v>821</v>
      </c>
      <c r="I377" s="42" t="s">
        <v>821</v>
      </c>
      <c r="J377" s="42" t="s">
        <v>821</v>
      </c>
      <c r="K377" s="42" t="s">
        <v>821</v>
      </c>
      <c r="L377" s="41" t="s">
        <v>821</v>
      </c>
      <c r="M377" s="45" t="s">
        <v>391</v>
      </c>
      <c r="N377" s="56"/>
      <c r="O377" s="7"/>
    </row>
    <row r="378" spans="1:29" ht="30.5" customHeight="1" thickBot="1">
      <c r="A378" s="56"/>
      <c r="B378" s="56"/>
      <c r="C378" s="56"/>
      <c r="D378" s="201" t="s">
        <v>818</v>
      </c>
      <c r="E378" s="106">
        <v>0</v>
      </c>
      <c r="F378" s="106">
        <v>0</v>
      </c>
      <c r="G378" s="106">
        <v>0</v>
      </c>
      <c r="H378" s="106">
        <v>0</v>
      </c>
      <c r="I378" s="106">
        <v>0</v>
      </c>
      <c r="J378" s="106">
        <v>0</v>
      </c>
      <c r="K378" s="106">
        <v>0</v>
      </c>
      <c r="L378" s="99">
        <v>0</v>
      </c>
      <c r="M378" s="45" t="s">
        <v>393</v>
      </c>
      <c r="N378" s="56"/>
      <c r="O378" s="7"/>
    </row>
    <row r="379" spans="1:29" ht="15" customHeight="1" thickBot="1">
      <c r="A379" s="56"/>
      <c r="B379" s="56"/>
      <c r="C379" s="56"/>
    </row>
    <row r="380" spans="1:29" ht="16" thickBot="1">
      <c r="A380" s="56"/>
      <c r="B380" s="56"/>
      <c r="C380" s="56"/>
      <c r="D380" s="296" t="s">
        <v>771</v>
      </c>
      <c r="E380" s="297"/>
      <c r="F380" s="297"/>
      <c r="G380" s="297"/>
      <c r="H380" s="297"/>
      <c r="I380" s="297"/>
      <c r="J380" s="297"/>
      <c r="K380" s="297"/>
      <c r="L380" s="297"/>
      <c r="M380" s="298"/>
      <c r="N380" s="56"/>
    </row>
    <row r="381" spans="1:29" ht="16" thickBot="1">
      <c r="A381" s="56"/>
      <c r="B381" s="56"/>
      <c r="C381" s="56"/>
      <c r="D381" s="296" t="s">
        <v>772</v>
      </c>
      <c r="E381" s="297"/>
      <c r="F381" s="297"/>
      <c r="G381" s="297"/>
      <c r="H381" s="297"/>
      <c r="I381" s="297"/>
      <c r="J381" s="297"/>
      <c r="K381" s="297"/>
      <c r="L381" s="297"/>
      <c r="M381" s="298"/>
      <c r="N381" s="56"/>
    </row>
    <row r="382" spans="1:29">
      <c r="A382" s="56"/>
      <c r="B382" s="56"/>
      <c r="C382" s="56"/>
      <c r="D382" s="174" t="s">
        <v>247</v>
      </c>
      <c r="E382" s="169" t="str">
        <f t="shared" ref="E382:M382" si="21">+E324</f>
        <v>Nord Stream AG (Stateless Permanent Establishment Sweden)</v>
      </c>
      <c r="F382" s="169">
        <f t="shared" si="21"/>
        <v>0</v>
      </c>
      <c r="G382" s="169">
        <f t="shared" si="21"/>
        <v>0</v>
      </c>
      <c r="H382" s="169">
        <f t="shared" si="21"/>
        <v>0</v>
      </c>
      <c r="I382" s="169">
        <f t="shared" si="21"/>
        <v>0</v>
      </c>
      <c r="J382" s="169">
        <f t="shared" si="21"/>
        <v>0</v>
      </c>
      <c r="K382" s="169">
        <f t="shared" si="21"/>
        <v>0</v>
      </c>
      <c r="L382" s="169">
        <f t="shared" si="21"/>
        <v>0</v>
      </c>
      <c r="M382" s="170" t="str">
        <f t="shared" si="21"/>
        <v>Total amount</v>
      </c>
      <c r="N382" s="56"/>
    </row>
    <row r="383" spans="1:29">
      <c r="A383" s="56"/>
      <c r="B383" s="56"/>
      <c r="C383" s="56"/>
      <c r="D383" s="285" t="s">
        <v>773</v>
      </c>
      <c r="E383" s="383"/>
      <c r="F383" s="383"/>
      <c r="G383" s="383"/>
      <c r="H383" s="383"/>
      <c r="I383" s="383"/>
      <c r="J383" s="383"/>
      <c r="K383" s="383"/>
      <c r="L383" s="383"/>
      <c r="M383" s="286"/>
      <c r="N383" s="56"/>
    </row>
    <row r="384" spans="1:29">
      <c r="A384" s="56"/>
      <c r="B384" s="56"/>
      <c r="C384" s="56"/>
      <c r="D384" s="188" t="s">
        <v>774</v>
      </c>
      <c r="E384" s="42" t="s">
        <v>788</v>
      </c>
      <c r="F384" s="42" t="s">
        <v>788</v>
      </c>
      <c r="G384" s="42" t="s">
        <v>788</v>
      </c>
      <c r="H384" s="42" t="s">
        <v>788</v>
      </c>
      <c r="I384" s="42" t="s">
        <v>788</v>
      </c>
      <c r="J384" s="42" t="s">
        <v>788</v>
      </c>
      <c r="K384" s="42" t="s">
        <v>788</v>
      </c>
      <c r="L384" s="42" t="s">
        <v>788</v>
      </c>
      <c r="M384" s="150"/>
      <c r="N384" s="56"/>
    </row>
    <row r="385" spans="1:14" s="56" customFormat="1">
      <c r="D385" s="188" t="s">
        <v>775</v>
      </c>
      <c r="E385" s="42">
        <v>0</v>
      </c>
      <c r="F385" s="42">
        <v>0</v>
      </c>
      <c r="G385" s="42">
        <v>0</v>
      </c>
      <c r="H385" s="42">
        <v>0</v>
      </c>
      <c r="I385" s="42">
        <v>0</v>
      </c>
      <c r="J385" s="42">
        <v>0</v>
      </c>
      <c r="K385" s="42">
        <v>0</v>
      </c>
      <c r="L385" s="42">
        <v>0</v>
      </c>
      <c r="M385" s="150">
        <f>SUM(E385:L385)</f>
        <v>0</v>
      </c>
    </row>
    <row r="386" spans="1:14" s="56" customFormat="1">
      <c r="D386" s="23" t="s">
        <v>776</v>
      </c>
      <c r="E386" s="42">
        <v>0</v>
      </c>
      <c r="F386" s="42">
        <v>0</v>
      </c>
      <c r="G386" s="42">
        <v>0</v>
      </c>
      <c r="H386" s="42">
        <v>0</v>
      </c>
      <c r="I386" s="42">
        <v>0</v>
      </c>
      <c r="J386" s="42">
        <v>0</v>
      </c>
      <c r="K386" s="42">
        <v>0</v>
      </c>
      <c r="L386" s="42">
        <v>0</v>
      </c>
      <c r="M386" s="150">
        <f>SUM(E386:L386)</f>
        <v>0</v>
      </c>
    </row>
    <row r="387" spans="1:14" s="56" customFormat="1">
      <c r="D387" s="23" t="s">
        <v>777</v>
      </c>
      <c r="E387" s="181">
        <f>+E385-E386</f>
        <v>0</v>
      </c>
      <c r="F387" s="181">
        <f t="shared" ref="F387:L387" si="22">+F385-F386</f>
        <v>0</v>
      </c>
      <c r="G387" s="181">
        <f t="shared" si="22"/>
        <v>0</v>
      </c>
      <c r="H387" s="181">
        <f t="shared" si="22"/>
        <v>0</v>
      </c>
      <c r="I387" s="181">
        <f t="shared" si="22"/>
        <v>0</v>
      </c>
      <c r="J387" s="181">
        <f t="shared" si="22"/>
        <v>0</v>
      </c>
      <c r="K387" s="181">
        <f t="shared" si="22"/>
        <v>0</v>
      </c>
      <c r="L387" s="181">
        <f t="shared" si="22"/>
        <v>0</v>
      </c>
      <c r="M387" s="150">
        <f>SUM(E387:L387)</f>
        <v>0</v>
      </c>
    </row>
    <row r="388" spans="1:14">
      <c r="A388" s="56"/>
      <c r="B388" s="56"/>
      <c r="C388" s="56"/>
      <c r="D388" s="285" t="s">
        <v>778</v>
      </c>
      <c r="E388" s="383"/>
      <c r="F388" s="383"/>
      <c r="G388" s="383"/>
      <c r="H388" s="383"/>
      <c r="I388" s="383"/>
      <c r="J388" s="383"/>
      <c r="K388" s="383"/>
      <c r="L388" s="383"/>
      <c r="M388" s="286"/>
      <c r="N388" s="56"/>
    </row>
    <row r="389" spans="1:14" s="56" customFormat="1">
      <c r="D389" s="23" t="s">
        <v>779</v>
      </c>
      <c r="E389" s="42" t="s">
        <v>788</v>
      </c>
      <c r="F389" s="42" t="s">
        <v>788</v>
      </c>
      <c r="G389" s="42" t="s">
        <v>788</v>
      </c>
      <c r="H389" s="42" t="s">
        <v>788</v>
      </c>
      <c r="I389" s="42" t="s">
        <v>788</v>
      </c>
      <c r="J389" s="42" t="s">
        <v>788</v>
      </c>
      <c r="K389" s="42" t="s">
        <v>788</v>
      </c>
      <c r="L389" s="42" t="s">
        <v>788</v>
      </c>
      <c r="M389" s="184"/>
    </row>
    <row r="390" spans="1:14" s="56" customFormat="1">
      <c r="D390" s="23" t="s">
        <v>780</v>
      </c>
      <c r="E390" s="42">
        <v>0</v>
      </c>
      <c r="F390" s="42">
        <v>0</v>
      </c>
      <c r="G390" s="42">
        <v>0</v>
      </c>
      <c r="H390" s="42">
        <v>0</v>
      </c>
      <c r="I390" s="42">
        <v>0</v>
      </c>
      <c r="J390" s="42">
        <v>0</v>
      </c>
      <c r="K390" s="42">
        <v>0</v>
      </c>
      <c r="L390" s="42">
        <v>0</v>
      </c>
      <c r="M390" s="150">
        <f>SUM(E390:L390)</f>
        <v>0</v>
      </c>
    </row>
    <row r="391" spans="1:14" s="56" customFormat="1">
      <c r="D391" s="23" t="s">
        <v>781</v>
      </c>
      <c r="E391" s="42">
        <v>0</v>
      </c>
      <c r="F391" s="42">
        <v>0</v>
      </c>
      <c r="G391" s="42">
        <v>0</v>
      </c>
      <c r="H391" s="42">
        <v>0</v>
      </c>
      <c r="I391" s="42">
        <v>0</v>
      </c>
      <c r="J391" s="42">
        <v>0</v>
      </c>
      <c r="K391" s="42">
        <v>0</v>
      </c>
      <c r="L391" s="42">
        <v>0</v>
      </c>
      <c r="M391" s="150">
        <f>SUM(E391:L391)</f>
        <v>0</v>
      </c>
    </row>
    <row r="392" spans="1:14" s="56" customFormat="1">
      <c r="D392" s="23" t="s">
        <v>782</v>
      </c>
      <c r="E392" s="181">
        <f>+E390-E391</f>
        <v>0</v>
      </c>
      <c r="F392" s="181">
        <f t="shared" ref="F392:L392" si="23">+F390-F391</f>
        <v>0</v>
      </c>
      <c r="G392" s="181">
        <f t="shared" si="23"/>
        <v>0</v>
      </c>
      <c r="H392" s="181">
        <f t="shared" si="23"/>
        <v>0</v>
      </c>
      <c r="I392" s="181">
        <f t="shared" si="23"/>
        <v>0</v>
      </c>
      <c r="J392" s="181">
        <f t="shared" si="23"/>
        <v>0</v>
      </c>
      <c r="K392" s="181">
        <f t="shared" si="23"/>
        <v>0</v>
      </c>
      <c r="L392" s="181">
        <f t="shared" si="23"/>
        <v>0</v>
      </c>
      <c r="M392" s="150">
        <f>SUM(E392:L392)</f>
        <v>0</v>
      </c>
    </row>
    <row r="393" spans="1:14">
      <c r="A393" s="56"/>
      <c r="B393" s="56"/>
      <c r="C393" s="56"/>
      <c r="D393" s="285" t="s">
        <v>783</v>
      </c>
      <c r="E393" s="383"/>
      <c r="F393" s="383"/>
      <c r="G393" s="383"/>
      <c r="H393" s="383"/>
      <c r="I393" s="383"/>
      <c r="J393" s="383"/>
      <c r="K393" s="383"/>
      <c r="L393" s="383"/>
      <c r="M393" s="286"/>
      <c r="N393" s="56"/>
    </row>
    <row r="394" spans="1:14" s="56" customFormat="1">
      <c r="D394" s="23" t="s">
        <v>784</v>
      </c>
      <c r="E394" s="42">
        <v>0</v>
      </c>
      <c r="F394" s="42">
        <v>0</v>
      </c>
      <c r="G394" s="42">
        <v>0</v>
      </c>
      <c r="H394" s="42">
        <v>0</v>
      </c>
      <c r="I394" s="42">
        <v>0</v>
      </c>
      <c r="J394" s="42">
        <v>0</v>
      </c>
      <c r="K394" s="42">
        <v>0</v>
      </c>
      <c r="L394" s="42">
        <v>0</v>
      </c>
      <c r="M394" s="150">
        <f>SUM(E394:L394)</f>
        <v>0</v>
      </c>
    </row>
    <row r="395" spans="1:14" s="56" customFormat="1">
      <c r="D395" s="23" t="s">
        <v>785</v>
      </c>
      <c r="E395" s="42">
        <v>0</v>
      </c>
      <c r="F395" s="42">
        <v>0</v>
      </c>
      <c r="G395" s="42">
        <v>0</v>
      </c>
      <c r="H395" s="42">
        <v>0</v>
      </c>
      <c r="I395" s="42">
        <v>0</v>
      </c>
      <c r="J395" s="42">
        <v>0</v>
      </c>
      <c r="K395" s="42">
        <v>0</v>
      </c>
      <c r="L395" s="42">
        <v>0</v>
      </c>
      <c r="M395" s="150">
        <f>SUM(E395:L395)</f>
        <v>0</v>
      </c>
    </row>
    <row r="396" spans="1:14">
      <c r="A396" s="56"/>
      <c r="B396" s="56"/>
      <c r="C396" s="56"/>
      <c r="D396" s="285" t="s">
        <v>786</v>
      </c>
      <c r="E396" s="383"/>
      <c r="F396" s="383"/>
      <c r="G396" s="383"/>
      <c r="H396" s="383"/>
      <c r="I396" s="383"/>
      <c r="J396" s="383"/>
      <c r="K396" s="383"/>
      <c r="L396" s="383"/>
      <c r="M396" s="286"/>
      <c r="N396" s="56"/>
    </row>
    <row r="397" spans="1:14" s="56" customFormat="1" ht="16" thickBot="1">
      <c r="D397" s="176" t="s">
        <v>787</v>
      </c>
      <c r="E397" s="106">
        <v>0</v>
      </c>
      <c r="F397" s="106">
        <v>0</v>
      </c>
      <c r="G397" s="106">
        <v>0</v>
      </c>
      <c r="H397" s="106">
        <v>0</v>
      </c>
      <c r="I397" s="106">
        <v>0</v>
      </c>
      <c r="J397" s="106">
        <v>0</v>
      </c>
      <c r="K397" s="106">
        <v>0</v>
      </c>
      <c r="L397" s="106">
        <v>0</v>
      </c>
      <c r="M397" s="164">
        <f>SUM(E397:L397)</f>
        <v>0</v>
      </c>
    </row>
    <row r="398" spans="1:14" ht="16" thickBot="1">
      <c r="A398" s="56"/>
      <c r="B398" s="56"/>
      <c r="C398" s="56"/>
      <c r="D398" s="4"/>
      <c r="E398" s="182"/>
      <c r="F398" s="182"/>
      <c r="G398" s="182"/>
      <c r="H398" s="182"/>
      <c r="I398" s="182"/>
      <c r="J398" s="182"/>
      <c r="K398" s="182"/>
      <c r="L398" s="182"/>
      <c r="M398" s="182"/>
      <c r="N398" s="56"/>
    </row>
    <row r="399" spans="1:14" ht="16" thickBot="1">
      <c r="A399" s="56"/>
      <c r="B399" s="56"/>
      <c r="C399" s="56"/>
      <c r="D399" s="296" t="s">
        <v>789</v>
      </c>
      <c r="E399" s="298"/>
      <c r="F399" s="182"/>
      <c r="G399" s="182"/>
      <c r="H399" s="182"/>
      <c r="I399" s="182"/>
      <c r="J399" s="182"/>
      <c r="K399" s="182"/>
      <c r="L399" s="182"/>
      <c r="M399" s="182"/>
      <c r="N399" s="56"/>
    </row>
    <row r="400" spans="1:14">
      <c r="A400" s="56"/>
      <c r="B400" s="56"/>
      <c r="C400" s="56"/>
      <c r="D400" s="153" t="s">
        <v>790</v>
      </c>
      <c r="E400" s="189">
        <v>0</v>
      </c>
      <c r="F400" s="182"/>
      <c r="G400" s="182"/>
      <c r="H400" s="182"/>
      <c r="I400" s="182"/>
      <c r="J400" s="182"/>
      <c r="K400" s="182"/>
      <c r="L400" s="182"/>
      <c r="M400" s="182"/>
      <c r="N400" s="56"/>
    </row>
    <row r="401" spans="1:14">
      <c r="A401" s="56"/>
      <c r="B401" s="56"/>
      <c r="C401" s="56"/>
      <c r="D401" s="23" t="s">
        <v>791</v>
      </c>
      <c r="E401" s="184">
        <f>+E400*0.5</f>
        <v>0</v>
      </c>
      <c r="F401" s="182"/>
      <c r="G401" s="182"/>
      <c r="H401" s="182"/>
      <c r="I401" s="182"/>
      <c r="J401" s="182"/>
      <c r="K401" s="182"/>
      <c r="L401" s="182"/>
      <c r="M401" s="182"/>
      <c r="N401" s="56"/>
    </row>
    <row r="402" spans="1:14">
      <c r="A402" s="56"/>
      <c r="B402" s="56"/>
      <c r="C402" s="56"/>
      <c r="D402" s="23" t="s">
        <v>792</v>
      </c>
      <c r="E402" s="41">
        <v>0</v>
      </c>
      <c r="F402" s="182"/>
      <c r="G402" s="182"/>
      <c r="H402" s="182"/>
      <c r="I402" s="182"/>
      <c r="J402" s="182"/>
      <c r="K402" s="182"/>
      <c r="L402" s="182"/>
      <c r="M402" s="182"/>
      <c r="N402" s="56"/>
    </row>
    <row r="403" spans="1:14" ht="16" thickBot="1">
      <c r="A403" s="56"/>
      <c r="B403" s="56"/>
      <c r="C403" s="56"/>
      <c r="D403" s="176" t="s">
        <v>793</v>
      </c>
      <c r="E403" s="186">
        <f>+E402-E401</f>
        <v>0</v>
      </c>
      <c r="F403" s="182"/>
      <c r="G403" s="182"/>
      <c r="H403" s="182"/>
      <c r="I403" s="182"/>
      <c r="J403" s="182"/>
      <c r="K403" s="182"/>
      <c r="L403" s="182"/>
      <c r="M403" s="182"/>
      <c r="N403" s="56"/>
    </row>
    <row r="404" spans="1:14" ht="16" thickBot="1">
      <c r="A404" s="56"/>
      <c r="B404" s="56"/>
      <c r="C404" s="56"/>
      <c r="D404" s="4"/>
      <c r="E404" s="182"/>
      <c r="F404" s="182"/>
      <c r="G404" s="182"/>
      <c r="H404" s="182"/>
      <c r="I404" s="182"/>
      <c r="J404" s="182"/>
      <c r="K404" s="182"/>
      <c r="L404" s="182"/>
      <c r="M404" s="182"/>
      <c r="N404" s="56"/>
    </row>
    <row r="405" spans="1:14" ht="16" thickBot="1">
      <c r="A405" s="56"/>
      <c r="B405" s="56"/>
      <c r="C405" s="56"/>
      <c r="D405" s="296" t="s">
        <v>794</v>
      </c>
      <c r="E405" s="298"/>
      <c r="F405" s="182"/>
      <c r="G405" s="182"/>
      <c r="H405" s="182"/>
      <c r="I405" s="182"/>
      <c r="J405" s="182"/>
      <c r="K405" s="182"/>
      <c r="L405" s="182"/>
      <c r="M405" s="182"/>
      <c r="N405" s="56"/>
    </row>
    <row r="406" spans="1:14">
      <c r="A406" s="56"/>
      <c r="B406" s="56"/>
      <c r="C406" s="56"/>
      <c r="D406" s="384" t="s">
        <v>795</v>
      </c>
      <c r="E406" s="385"/>
      <c r="F406" s="182"/>
      <c r="G406" s="182"/>
      <c r="H406" s="182"/>
      <c r="I406" s="182"/>
      <c r="J406" s="182"/>
      <c r="K406" s="182"/>
      <c r="L406" s="182"/>
      <c r="M406" s="182"/>
      <c r="N406" s="56"/>
    </row>
    <row r="407" spans="1:14">
      <c r="A407" s="56"/>
      <c r="B407" s="56"/>
      <c r="C407" s="56"/>
      <c r="D407" s="153" t="s">
        <v>798</v>
      </c>
      <c r="E407" s="41" t="s">
        <v>801</v>
      </c>
      <c r="F407" s="187"/>
      <c r="G407" s="187"/>
      <c r="H407" s="187"/>
      <c r="I407" s="182"/>
      <c r="J407" s="182"/>
      <c r="K407" s="182"/>
      <c r="L407" s="182"/>
      <c r="M407" s="182"/>
      <c r="N407" s="56"/>
    </row>
    <row r="408" spans="1:14">
      <c r="A408" s="56"/>
      <c r="B408" s="56"/>
      <c r="C408" s="56"/>
      <c r="D408" s="153" t="s">
        <v>796</v>
      </c>
      <c r="E408" s="41" t="s">
        <v>802</v>
      </c>
      <c r="F408" s="182"/>
      <c r="G408" s="182"/>
      <c r="H408" s="182"/>
      <c r="I408" s="182"/>
      <c r="J408" s="182"/>
      <c r="K408" s="182"/>
      <c r="L408" s="182"/>
      <c r="M408" s="182"/>
      <c r="N408" s="56"/>
    </row>
    <row r="409" spans="1:14">
      <c r="A409" s="56"/>
      <c r="B409" s="56"/>
      <c r="C409" s="56"/>
      <c r="D409" s="153" t="s">
        <v>797</v>
      </c>
      <c r="E409" s="41">
        <v>0</v>
      </c>
      <c r="F409" s="182"/>
      <c r="G409" s="182"/>
      <c r="H409" s="182"/>
      <c r="I409" s="182"/>
      <c r="J409" s="182"/>
      <c r="K409" s="182"/>
      <c r="L409" s="182"/>
      <c r="M409" s="182"/>
      <c r="N409" s="56"/>
    </row>
    <row r="410" spans="1:14">
      <c r="A410" s="56"/>
      <c r="B410" s="56"/>
      <c r="C410" s="56"/>
      <c r="D410" s="153" t="s">
        <v>799</v>
      </c>
      <c r="E410" s="41">
        <v>0</v>
      </c>
      <c r="F410" s="182"/>
      <c r="G410" s="182"/>
      <c r="H410" s="182"/>
      <c r="I410" s="182"/>
      <c r="J410" s="182"/>
      <c r="K410" s="182"/>
      <c r="L410" s="182"/>
      <c r="M410" s="182"/>
      <c r="N410" s="56"/>
    </row>
    <row r="411" spans="1:14" ht="16" thickBot="1">
      <c r="A411" s="56"/>
      <c r="B411" s="56"/>
      <c r="C411" s="56"/>
      <c r="D411" s="190" t="s">
        <v>800</v>
      </c>
      <c r="E411" s="99" t="s">
        <v>803</v>
      </c>
      <c r="F411" s="182"/>
      <c r="G411" s="182"/>
      <c r="H411" s="182"/>
      <c r="I411" s="182"/>
      <c r="J411" s="182"/>
      <c r="K411" s="182"/>
      <c r="L411" s="182"/>
      <c r="M411" s="182"/>
      <c r="N411" s="56"/>
    </row>
    <row r="412" spans="1:14" ht="16" thickBot="1">
      <c r="A412" s="56"/>
      <c r="B412" s="56"/>
      <c r="C412" s="56"/>
      <c r="D412" s="187"/>
      <c r="E412" s="182"/>
      <c r="F412" s="182"/>
      <c r="G412" s="182"/>
      <c r="H412" s="182"/>
      <c r="I412" s="182"/>
      <c r="J412" s="182"/>
      <c r="K412" s="182"/>
      <c r="L412" s="182"/>
      <c r="M412" s="182"/>
      <c r="N412" s="56"/>
    </row>
    <row r="413" spans="1:14" ht="16" thickBot="1">
      <c r="A413" s="56"/>
      <c r="B413" s="56"/>
      <c r="C413" s="56"/>
      <c r="D413" s="311" t="s">
        <v>804</v>
      </c>
      <c r="E413" s="360"/>
      <c r="F413" s="360"/>
      <c r="G413" s="360"/>
      <c r="H413" s="360"/>
      <c r="I413" s="360"/>
      <c r="J413" s="360"/>
      <c r="K413" s="360"/>
      <c r="L413" s="312"/>
      <c r="M413" s="56"/>
      <c r="N413" s="56"/>
    </row>
    <row r="414" spans="1:14">
      <c r="A414" s="56"/>
      <c r="B414" s="56"/>
      <c r="C414" s="56"/>
      <c r="D414" s="174" t="s">
        <v>805</v>
      </c>
      <c r="E414" s="169" t="str">
        <f>+E382</f>
        <v>Nord Stream AG (Stateless Permanent Establishment Sweden)</v>
      </c>
      <c r="F414" s="169">
        <f t="shared" ref="F414:L414" si="24">+F382</f>
        <v>0</v>
      </c>
      <c r="G414" s="169">
        <f t="shared" si="24"/>
        <v>0</v>
      </c>
      <c r="H414" s="169">
        <f t="shared" si="24"/>
        <v>0</v>
      </c>
      <c r="I414" s="169">
        <f t="shared" si="24"/>
        <v>0</v>
      </c>
      <c r="J414" s="169">
        <f t="shared" si="24"/>
        <v>0</v>
      </c>
      <c r="K414" s="169">
        <f t="shared" si="24"/>
        <v>0</v>
      </c>
      <c r="L414" s="170">
        <f t="shared" si="24"/>
        <v>0</v>
      </c>
      <c r="M414" s="45" t="s">
        <v>245</v>
      </c>
      <c r="N414" s="45" t="s">
        <v>403</v>
      </c>
    </row>
    <row r="415" spans="1:14" ht="16" thickBot="1">
      <c r="A415" s="56"/>
      <c r="B415" s="56"/>
      <c r="C415" s="56"/>
      <c r="D415" s="176" t="s">
        <v>806</v>
      </c>
      <c r="E415" s="106" t="s">
        <v>807</v>
      </c>
      <c r="F415" s="106" t="s">
        <v>807</v>
      </c>
      <c r="G415" s="106" t="s">
        <v>807</v>
      </c>
      <c r="H415" s="106" t="s">
        <v>807</v>
      </c>
      <c r="I415" s="106" t="s">
        <v>807</v>
      </c>
      <c r="J415" s="106" t="s">
        <v>807</v>
      </c>
      <c r="K415" s="106" t="s">
        <v>807</v>
      </c>
      <c r="L415" s="99" t="s">
        <v>807</v>
      </c>
      <c r="M415" s="45" t="s">
        <v>404</v>
      </c>
      <c r="N415" s="45" t="s">
        <v>405</v>
      </c>
    </row>
    <row r="416" spans="1:14">
      <c r="A416" s="56"/>
      <c r="B416" s="56"/>
      <c r="C416" s="56"/>
      <c r="D416" s="56"/>
      <c r="E416" s="56"/>
      <c r="F416" s="7"/>
      <c r="G416" s="7"/>
      <c r="H416" s="7"/>
      <c r="I416" s="7"/>
      <c r="J416" s="7"/>
      <c r="K416" s="7"/>
      <c r="L416" s="7"/>
      <c r="M416" s="7"/>
      <c r="N416" s="7"/>
    </row>
    <row r="417" spans="1:15" ht="16" thickBot="1">
      <c r="A417" s="56"/>
      <c r="B417" s="56"/>
      <c r="C417" s="56"/>
      <c r="D417" s="56"/>
      <c r="E417" s="56"/>
      <c r="F417" s="7"/>
      <c r="G417" s="7"/>
      <c r="H417" s="7"/>
      <c r="I417" s="7"/>
      <c r="J417" s="7"/>
      <c r="K417" s="7"/>
      <c r="L417" s="7"/>
      <c r="M417" s="7"/>
      <c r="N417" s="7"/>
    </row>
    <row r="418" spans="1:15" ht="16" thickBot="1">
      <c r="A418" s="56"/>
      <c r="B418" s="56"/>
      <c r="C418" s="56"/>
      <c r="D418" s="296" t="s">
        <v>406</v>
      </c>
      <c r="E418" s="298" t="s">
        <v>1</v>
      </c>
      <c r="F418" s="2"/>
      <c r="G418" s="2"/>
      <c r="H418" s="2"/>
      <c r="I418" s="2"/>
      <c r="J418" s="7"/>
      <c r="K418" s="7"/>
      <c r="L418" s="7"/>
      <c r="M418" s="7"/>
      <c r="N418" s="7"/>
    </row>
    <row r="419" spans="1:15" ht="16" thickBot="1">
      <c r="A419" s="56"/>
      <c r="B419" s="56"/>
      <c r="C419" s="56"/>
      <c r="D419" s="296" t="s">
        <v>538</v>
      </c>
      <c r="E419" s="298"/>
      <c r="F419" s="2"/>
      <c r="G419" s="2"/>
      <c r="H419" s="2"/>
      <c r="I419" s="2"/>
      <c r="J419" s="7"/>
      <c r="K419" s="7"/>
      <c r="L419" s="7"/>
      <c r="M419" s="7"/>
      <c r="N419" s="7"/>
    </row>
    <row r="420" spans="1:15">
      <c r="A420" s="56"/>
      <c r="B420" s="56"/>
      <c r="C420" s="56"/>
      <c r="D420" s="202" t="s">
        <v>822</v>
      </c>
      <c r="E420" s="203">
        <f>IF(15%-E36&gt;0%,15%-E36,0)</f>
        <v>0</v>
      </c>
      <c r="F420" s="45" t="s">
        <v>407</v>
      </c>
      <c r="G420" s="45" t="s">
        <v>409</v>
      </c>
      <c r="H420" s="56"/>
      <c r="I420" s="56"/>
      <c r="J420" s="7"/>
      <c r="K420" s="7"/>
      <c r="L420" s="7"/>
      <c r="M420" s="7"/>
      <c r="N420" s="7"/>
      <c r="O420" s="32"/>
    </row>
    <row r="421" spans="1:15">
      <c r="A421" s="56"/>
      <c r="B421" s="56"/>
      <c r="C421" s="56"/>
      <c r="D421" s="24" t="s">
        <v>823</v>
      </c>
      <c r="E421" s="204">
        <f>+E437</f>
        <v>341400</v>
      </c>
      <c r="F421" s="45" t="s">
        <v>408</v>
      </c>
      <c r="G421" s="45" t="s">
        <v>411</v>
      </c>
      <c r="H421" s="56"/>
      <c r="I421" s="56"/>
      <c r="J421" s="7"/>
      <c r="K421" s="7"/>
      <c r="L421" s="7"/>
      <c r="M421" s="7"/>
      <c r="N421" s="7"/>
    </row>
    <row r="422" spans="1:15">
      <c r="A422" s="56"/>
      <c r="B422" s="56"/>
      <c r="C422" s="56"/>
      <c r="D422" s="24" t="s">
        <v>824</v>
      </c>
      <c r="E422" s="204">
        <f>+E16-E421</f>
        <v>-8068</v>
      </c>
      <c r="F422" s="45" t="s">
        <v>410</v>
      </c>
      <c r="G422" s="45" t="s">
        <v>413</v>
      </c>
      <c r="H422" s="56"/>
      <c r="I422" s="56"/>
      <c r="J422" s="7"/>
      <c r="K422" s="7"/>
      <c r="L422" s="7"/>
      <c r="M422" s="7"/>
      <c r="N422" s="7"/>
    </row>
    <row r="423" spans="1:15">
      <c r="A423" s="56"/>
      <c r="B423" s="56"/>
      <c r="C423" s="56"/>
      <c r="D423" s="24" t="s">
        <v>825</v>
      </c>
      <c r="E423" s="205">
        <f>+E475</f>
        <v>0</v>
      </c>
      <c r="F423" s="45" t="s">
        <v>412</v>
      </c>
      <c r="G423" s="45" t="s">
        <v>415</v>
      </c>
      <c r="H423" s="56"/>
      <c r="I423" s="56"/>
      <c r="J423" s="7"/>
      <c r="K423" s="7"/>
      <c r="L423" s="7"/>
      <c r="M423" s="7"/>
      <c r="N423" s="7"/>
    </row>
    <row r="424" spans="1:15">
      <c r="A424" s="56"/>
      <c r="B424" s="56"/>
      <c r="C424" s="56"/>
      <c r="D424" s="24" t="s">
        <v>826</v>
      </c>
      <c r="E424" s="41">
        <v>0</v>
      </c>
      <c r="F424" s="45" t="s">
        <v>414</v>
      </c>
      <c r="G424" s="45" t="s">
        <v>417</v>
      </c>
      <c r="H424" s="56"/>
      <c r="I424" s="56"/>
      <c r="J424" s="7"/>
      <c r="K424" s="7"/>
      <c r="L424" s="7"/>
      <c r="M424" s="7"/>
      <c r="N424" s="7"/>
    </row>
    <row r="425" spans="1:15" ht="16" thickBot="1">
      <c r="A425" s="56"/>
      <c r="B425" s="56"/>
      <c r="C425" s="56"/>
      <c r="D425" s="25" t="s">
        <v>827</v>
      </c>
      <c r="E425" s="206">
        <f>+(E420*E422)+E423-E424</f>
        <v>0</v>
      </c>
      <c r="F425" s="45" t="s">
        <v>416</v>
      </c>
      <c r="G425" s="45" t="s">
        <v>419</v>
      </c>
      <c r="H425" s="56"/>
      <c r="I425" s="56"/>
      <c r="J425" s="7"/>
      <c r="K425" s="7"/>
      <c r="L425" s="7"/>
      <c r="M425" s="7"/>
      <c r="N425" s="7"/>
    </row>
    <row r="426" spans="1:15" ht="16" thickBot="1">
      <c r="A426" s="56"/>
      <c r="B426" s="56"/>
      <c r="C426" s="56"/>
      <c r="D426" s="56"/>
      <c r="E426" s="56"/>
      <c r="F426" s="45" t="s">
        <v>418</v>
      </c>
      <c r="G426" s="45"/>
      <c r="H426" s="56"/>
      <c r="I426" s="56"/>
      <c r="J426" s="7"/>
      <c r="K426" s="7"/>
      <c r="L426" s="7"/>
      <c r="M426" s="7"/>
      <c r="N426" s="7"/>
    </row>
    <row r="427" spans="1:15" ht="16" hidden="1" thickBot="1">
      <c r="A427" s="56"/>
      <c r="B427" s="56"/>
      <c r="C427" s="56"/>
      <c r="D427" s="56"/>
      <c r="E427" s="56"/>
      <c r="F427" s="56"/>
      <c r="G427" s="56"/>
      <c r="H427" s="56"/>
      <c r="I427" s="56"/>
      <c r="J427" s="7"/>
      <c r="K427" s="7"/>
      <c r="L427" s="7"/>
      <c r="M427" s="7"/>
      <c r="N427" s="7"/>
    </row>
    <row r="428" spans="1:15" ht="16" thickBot="1">
      <c r="A428" s="56"/>
      <c r="B428" s="56"/>
      <c r="C428" s="56"/>
      <c r="D428" s="296" t="s">
        <v>420</v>
      </c>
      <c r="E428" s="298" t="s">
        <v>1</v>
      </c>
      <c r="F428" s="56"/>
      <c r="G428" s="56"/>
      <c r="H428" s="56"/>
      <c r="I428" s="56"/>
      <c r="J428" s="7"/>
      <c r="K428" s="7"/>
      <c r="L428" s="7"/>
      <c r="M428" s="7"/>
      <c r="N428" s="7"/>
    </row>
    <row r="429" spans="1:15" ht="16" thickBot="1">
      <c r="A429" s="56"/>
      <c r="B429" s="56"/>
      <c r="C429" s="56"/>
      <c r="D429" s="311" t="s">
        <v>833</v>
      </c>
      <c r="E429" s="312"/>
      <c r="F429" s="45"/>
      <c r="G429" s="45" t="s">
        <v>421</v>
      </c>
      <c r="I429" s="56"/>
      <c r="J429" s="7"/>
      <c r="K429" s="7"/>
      <c r="L429" s="7"/>
      <c r="M429" s="7"/>
      <c r="N429" s="7"/>
    </row>
    <row r="430" spans="1:15">
      <c r="A430" s="56"/>
      <c r="B430" s="56"/>
      <c r="C430" s="56"/>
      <c r="D430" s="386" t="s">
        <v>835</v>
      </c>
      <c r="E430" s="387"/>
      <c r="F430" s="45"/>
      <c r="G430" s="45"/>
      <c r="I430" s="56"/>
      <c r="J430" s="7"/>
      <c r="K430" s="7"/>
      <c r="L430" s="7"/>
      <c r="M430" s="7"/>
      <c r="N430" s="7"/>
    </row>
    <row r="431" spans="1:15">
      <c r="A431" s="56"/>
      <c r="B431" s="56"/>
      <c r="C431" s="56"/>
      <c r="D431" s="24" t="s">
        <v>828</v>
      </c>
      <c r="E431" s="204">
        <f>+M442</f>
        <v>300000</v>
      </c>
      <c r="F431" s="45" t="s">
        <v>422</v>
      </c>
      <c r="G431" s="45" t="s">
        <v>423</v>
      </c>
      <c r="I431" s="56"/>
      <c r="J431" s="7"/>
      <c r="K431" s="7"/>
      <c r="L431" s="7"/>
      <c r="M431" s="7"/>
      <c r="N431" s="7"/>
    </row>
    <row r="432" spans="1:15" ht="16" thickBot="1">
      <c r="A432" s="56"/>
      <c r="B432" s="56"/>
      <c r="C432" s="56"/>
      <c r="D432" s="208" t="s">
        <v>829</v>
      </c>
      <c r="E432" s="209">
        <v>9.8000000000000004E-2</v>
      </c>
      <c r="F432" s="45" t="s">
        <v>424</v>
      </c>
      <c r="G432" s="45" t="s">
        <v>425</v>
      </c>
      <c r="I432" s="56"/>
      <c r="J432" s="7"/>
      <c r="K432" s="7"/>
      <c r="L432" s="7"/>
      <c r="M432" s="7"/>
      <c r="N432" s="7"/>
    </row>
    <row r="433" spans="1:30">
      <c r="A433" s="56"/>
      <c r="B433" s="56"/>
      <c r="C433" s="56"/>
      <c r="D433" s="379" t="s">
        <v>836</v>
      </c>
      <c r="E433" s="380"/>
      <c r="F433" s="45"/>
      <c r="G433" s="45"/>
      <c r="I433" s="56"/>
      <c r="J433" s="7"/>
      <c r="K433" s="7"/>
      <c r="L433" s="7"/>
      <c r="M433" s="7"/>
      <c r="N433" s="7"/>
    </row>
    <row r="434" spans="1:30">
      <c r="A434" s="56"/>
      <c r="B434" s="56"/>
      <c r="C434" s="56"/>
      <c r="D434" s="24" t="s">
        <v>830</v>
      </c>
      <c r="E434" s="204">
        <f>+M443</f>
        <v>4000000</v>
      </c>
      <c r="F434" s="45" t="s">
        <v>426</v>
      </c>
      <c r="G434" s="45" t="s">
        <v>427</v>
      </c>
      <c r="I434" s="92"/>
      <c r="J434" s="7"/>
      <c r="K434" s="7"/>
      <c r="L434" s="7"/>
      <c r="M434" s="7"/>
      <c r="N434" s="7"/>
    </row>
    <row r="435" spans="1:30" ht="16" thickBot="1">
      <c r="A435" s="56"/>
      <c r="B435" s="56"/>
      <c r="C435" s="56"/>
      <c r="D435" s="208" t="s">
        <v>831</v>
      </c>
      <c r="E435" s="209">
        <v>7.8E-2</v>
      </c>
      <c r="F435" s="45" t="s">
        <v>428</v>
      </c>
      <c r="G435" s="45" t="s">
        <v>429</v>
      </c>
      <c r="I435" s="56"/>
      <c r="J435" s="7"/>
      <c r="K435" s="7"/>
      <c r="L435" s="7"/>
      <c r="M435" s="7"/>
      <c r="N435" s="7"/>
    </row>
    <row r="436" spans="1:30">
      <c r="A436" s="56"/>
      <c r="B436" s="56"/>
      <c r="C436" s="56"/>
      <c r="D436" s="379" t="s">
        <v>114</v>
      </c>
      <c r="E436" s="380"/>
      <c r="F436" s="45"/>
      <c r="G436" s="45"/>
      <c r="I436" s="56"/>
      <c r="J436" s="7"/>
      <c r="K436" s="7"/>
      <c r="L436" s="7"/>
      <c r="M436" s="7"/>
      <c r="N436" s="7"/>
    </row>
    <row r="437" spans="1:30" ht="16" thickBot="1">
      <c r="A437" s="56"/>
      <c r="B437" s="56"/>
      <c r="C437" s="56"/>
      <c r="D437" s="25" t="s">
        <v>832</v>
      </c>
      <c r="E437" s="206">
        <f>(E431*E432)+(E434*E435)</f>
        <v>341400</v>
      </c>
      <c r="F437" s="45" t="s">
        <v>430</v>
      </c>
      <c r="G437" s="45" t="s">
        <v>431</v>
      </c>
      <c r="I437" s="56"/>
      <c r="J437" s="7"/>
      <c r="K437" s="7"/>
      <c r="L437" s="7"/>
      <c r="M437" s="7"/>
      <c r="N437" s="7"/>
    </row>
    <row r="438" spans="1:30">
      <c r="A438" s="56"/>
      <c r="B438" s="56"/>
      <c r="C438" s="56"/>
      <c r="D438" s="56"/>
      <c r="E438" s="56"/>
      <c r="F438" s="56"/>
      <c r="G438" s="56"/>
      <c r="H438" s="56"/>
      <c r="I438" s="56"/>
      <c r="J438" s="7"/>
      <c r="K438" s="7"/>
      <c r="L438" s="7"/>
      <c r="M438" s="7"/>
      <c r="N438" s="7"/>
    </row>
    <row r="439" spans="1:30" ht="16" thickBot="1">
      <c r="A439" s="56"/>
      <c r="B439" s="56"/>
      <c r="C439" s="56"/>
      <c r="D439" s="56"/>
      <c r="E439" s="56"/>
      <c r="F439" s="56"/>
      <c r="G439" s="56"/>
      <c r="H439" s="56"/>
      <c r="I439" s="56"/>
      <c r="J439" s="7"/>
      <c r="K439" s="7"/>
      <c r="L439" s="7"/>
      <c r="M439" s="7"/>
      <c r="N439" s="7"/>
    </row>
    <row r="440" spans="1:30" ht="16" thickBot="1">
      <c r="A440" s="56"/>
      <c r="B440" s="56"/>
      <c r="C440" s="56"/>
      <c r="D440" s="296" t="s">
        <v>834</v>
      </c>
      <c r="E440" s="297"/>
      <c r="F440" s="297"/>
      <c r="G440" s="297"/>
      <c r="H440" s="297"/>
      <c r="I440" s="297"/>
      <c r="J440" s="297"/>
      <c r="K440" s="297"/>
      <c r="L440" s="297"/>
      <c r="M440" s="298"/>
      <c r="N440" s="45" t="s">
        <v>432</v>
      </c>
      <c r="O440" s="45"/>
    </row>
    <row r="441" spans="1:30" ht="16" thickBot="1">
      <c r="A441" s="56"/>
      <c r="B441" s="56"/>
      <c r="C441" s="56"/>
      <c r="D441" s="210"/>
      <c r="E441" s="211" t="str">
        <f>+E414</f>
        <v>Nord Stream AG (Stateless Permanent Establishment Sweden)</v>
      </c>
      <c r="F441" s="211">
        <f t="shared" ref="F441:L441" si="25">+F414</f>
        <v>0</v>
      </c>
      <c r="G441" s="211">
        <f t="shared" si="25"/>
        <v>0</v>
      </c>
      <c r="H441" s="211">
        <f t="shared" si="25"/>
        <v>0</v>
      </c>
      <c r="I441" s="211">
        <f t="shared" si="25"/>
        <v>0</v>
      </c>
      <c r="J441" s="211">
        <f t="shared" si="25"/>
        <v>0</v>
      </c>
      <c r="K441" s="211">
        <f t="shared" si="25"/>
        <v>0</v>
      </c>
      <c r="L441" s="211">
        <f t="shared" si="25"/>
        <v>0</v>
      </c>
      <c r="M441" s="212" t="s">
        <v>843</v>
      </c>
      <c r="N441" s="45" t="s">
        <v>245</v>
      </c>
      <c r="O441" s="45"/>
    </row>
    <row r="442" spans="1:30" ht="58.5" customHeight="1">
      <c r="A442" s="56"/>
      <c r="B442" s="56"/>
      <c r="C442" s="56"/>
      <c r="D442" s="207" t="s">
        <v>838</v>
      </c>
      <c r="E442" s="194">
        <v>300000</v>
      </c>
      <c r="F442" s="194">
        <v>0</v>
      </c>
      <c r="G442" s="194">
        <v>0</v>
      </c>
      <c r="H442" s="194">
        <v>0</v>
      </c>
      <c r="I442" s="194">
        <v>0</v>
      </c>
      <c r="J442" s="194">
        <v>0</v>
      </c>
      <c r="K442" s="194">
        <v>0</v>
      </c>
      <c r="L442" s="194">
        <v>0</v>
      </c>
      <c r="M442" s="213">
        <f>SUM(E442:L442)</f>
        <v>300000</v>
      </c>
      <c r="N442" s="45" t="s">
        <v>422</v>
      </c>
      <c r="O442" s="45" t="s">
        <v>433</v>
      </c>
      <c r="P442" s="325" t="s">
        <v>434</v>
      </c>
      <c r="Q442" s="326"/>
      <c r="R442" s="326"/>
      <c r="S442" s="326"/>
      <c r="T442" s="326"/>
      <c r="U442" s="326"/>
      <c r="V442" s="326"/>
      <c r="W442" s="326"/>
      <c r="X442" s="326"/>
      <c r="Y442" s="326"/>
      <c r="Z442" s="326"/>
      <c r="AA442" s="326"/>
      <c r="AB442" s="326"/>
      <c r="AC442" s="326"/>
      <c r="AD442" s="327"/>
    </row>
    <row r="443" spans="1:30" ht="69.5" customHeight="1">
      <c r="A443" s="56"/>
      <c r="B443" s="56"/>
      <c r="C443" s="56"/>
      <c r="D443" s="141" t="s">
        <v>839</v>
      </c>
      <c r="E443" s="42">
        <v>4000000</v>
      </c>
      <c r="F443" s="42">
        <v>0</v>
      </c>
      <c r="G443" s="42">
        <v>0</v>
      </c>
      <c r="H443" s="42">
        <v>0</v>
      </c>
      <c r="I443" s="42">
        <v>0</v>
      </c>
      <c r="J443" s="42">
        <v>0</v>
      </c>
      <c r="K443" s="42">
        <v>0</v>
      </c>
      <c r="L443" s="42">
        <v>0</v>
      </c>
      <c r="M443" s="204">
        <f>SUM(E443:L443)</f>
        <v>4000000</v>
      </c>
      <c r="N443" s="45" t="s">
        <v>426</v>
      </c>
      <c r="O443" s="45" t="s">
        <v>435</v>
      </c>
      <c r="P443" s="325" t="s">
        <v>436</v>
      </c>
      <c r="Q443" s="326"/>
      <c r="R443" s="326"/>
      <c r="S443" s="326"/>
      <c r="T443" s="326"/>
      <c r="U443" s="326"/>
      <c r="V443" s="326"/>
      <c r="W443" s="326"/>
      <c r="X443" s="326"/>
      <c r="Y443" s="326"/>
      <c r="Z443" s="326"/>
      <c r="AA443" s="326"/>
      <c r="AB443" s="326"/>
      <c r="AC443" s="326"/>
      <c r="AD443" s="327"/>
    </row>
    <row r="444" spans="1:30">
      <c r="A444" s="56"/>
      <c r="B444" s="56"/>
      <c r="C444" s="56"/>
      <c r="D444" s="141" t="s">
        <v>439</v>
      </c>
      <c r="E444" s="42" t="s">
        <v>840</v>
      </c>
      <c r="F444" s="42" t="s">
        <v>840</v>
      </c>
      <c r="G444" s="42" t="s">
        <v>840</v>
      </c>
      <c r="H444" s="42" t="s">
        <v>840</v>
      </c>
      <c r="I444" s="42" t="s">
        <v>840</v>
      </c>
      <c r="J444" s="42" t="s">
        <v>840</v>
      </c>
      <c r="K444" s="42" t="s">
        <v>840</v>
      </c>
      <c r="L444" s="42" t="s">
        <v>840</v>
      </c>
      <c r="M444" s="204"/>
      <c r="N444" s="45" t="s">
        <v>437</v>
      </c>
      <c r="O444" s="45" t="s">
        <v>438</v>
      </c>
    </row>
    <row r="445" spans="1:30">
      <c r="A445" s="56"/>
      <c r="B445" s="56"/>
      <c r="C445" s="56"/>
      <c r="D445" s="141" t="s">
        <v>841</v>
      </c>
      <c r="E445" s="42">
        <v>0</v>
      </c>
      <c r="F445" s="42">
        <v>0</v>
      </c>
      <c r="G445" s="42">
        <v>0</v>
      </c>
      <c r="H445" s="42">
        <v>0</v>
      </c>
      <c r="I445" s="42">
        <v>0</v>
      </c>
      <c r="J445" s="42">
        <v>0</v>
      </c>
      <c r="K445" s="42">
        <v>0</v>
      </c>
      <c r="L445" s="42">
        <v>0</v>
      </c>
      <c r="M445" s="204">
        <f>SUM(E445:L445)</f>
        <v>0</v>
      </c>
      <c r="N445" s="45" t="s">
        <v>422</v>
      </c>
      <c r="O445" s="45" t="s">
        <v>440</v>
      </c>
    </row>
    <row r="446" spans="1:30" ht="16" thickBot="1">
      <c r="A446" s="56"/>
      <c r="B446" s="56"/>
      <c r="C446" s="56"/>
      <c r="D446" s="201" t="s">
        <v>837</v>
      </c>
      <c r="E446" s="106">
        <v>0</v>
      </c>
      <c r="F446" s="106">
        <v>0</v>
      </c>
      <c r="G446" s="106">
        <v>0</v>
      </c>
      <c r="H446" s="106">
        <v>0</v>
      </c>
      <c r="I446" s="106">
        <v>0</v>
      </c>
      <c r="J446" s="106">
        <v>0</v>
      </c>
      <c r="K446" s="106">
        <v>0</v>
      </c>
      <c r="L446" s="106">
        <v>0</v>
      </c>
      <c r="M446" s="206">
        <f>SUM(E446:L446)</f>
        <v>0</v>
      </c>
      <c r="N446" s="45" t="s">
        <v>426</v>
      </c>
      <c r="O446" s="45" t="s">
        <v>441</v>
      </c>
    </row>
    <row r="447" spans="1:30">
      <c r="A447" s="56"/>
      <c r="B447" s="56"/>
      <c r="C447" s="56"/>
      <c r="D447" s="56"/>
      <c r="E447" s="56"/>
      <c r="F447" s="56"/>
      <c r="G447" s="56"/>
      <c r="H447" s="56"/>
      <c r="I447" s="56"/>
      <c r="J447" s="7"/>
      <c r="K447" s="7"/>
      <c r="L447" s="7"/>
      <c r="M447" s="7"/>
      <c r="N447" s="7"/>
    </row>
    <row r="448" spans="1:30" ht="16" thickBot="1">
      <c r="A448" s="56"/>
      <c r="B448" s="56"/>
      <c r="C448" s="56"/>
      <c r="D448" s="56"/>
      <c r="E448" s="56"/>
      <c r="F448" s="56"/>
      <c r="G448" s="56"/>
      <c r="H448" s="56"/>
      <c r="I448" s="56"/>
      <c r="J448" s="7"/>
      <c r="K448" s="7"/>
      <c r="L448" s="7"/>
      <c r="M448" s="7"/>
      <c r="N448" s="7"/>
    </row>
    <row r="449" spans="1:15" ht="16" thickBot="1">
      <c r="A449" s="56"/>
      <c r="B449" s="56"/>
      <c r="C449" s="56"/>
      <c r="D449" s="296" t="s">
        <v>842</v>
      </c>
      <c r="E449" s="297"/>
      <c r="F449" s="297"/>
      <c r="G449" s="297"/>
      <c r="H449" s="297"/>
      <c r="I449" s="297"/>
      <c r="J449" s="297"/>
      <c r="K449" s="297"/>
      <c r="L449" s="297"/>
      <c r="M449" s="298"/>
      <c r="N449" s="45" t="s">
        <v>442</v>
      </c>
      <c r="O449" s="45"/>
    </row>
    <row r="450" spans="1:15" ht="16" thickBot="1">
      <c r="A450" s="56"/>
      <c r="B450" s="56"/>
      <c r="C450" s="56"/>
      <c r="D450" s="214"/>
      <c r="E450" s="211" t="str">
        <f>+E441</f>
        <v>Nord Stream AG (Stateless Permanent Establishment Sweden)</v>
      </c>
      <c r="F450" s="211">
        <f t="shared" ref="F450:L452" si="26">+F441</f>
        <v>0</v>
      </c>
      <c r="G450" s="211">
        <f t="shared" si="26"/>
        <v>0</v>
      </c>
      <c r="H450" s="211">
        <f t="shared" si="26"/>
        <v>0</v>
      </c>
      <c r="I450" s="211">
        <f t="shared" si="26"/>
        <v>0</v>
      </c>
      <c r="J450" s="211">
        <f t="shared" si="26"/>
        <v>0</v>
      </c>
      <c r="K450" s="211">
        <f t="shared" si="26"/>
        <v>0</v>
      </c>
      <c r="L450" s="211">
        <f t="shared" si="26"/>
        <v>0</v>
      </c>
      <c r="M450" s="212" t="s">
        <v>843</v>
      </c>
      <c r="N450" s="45"/>
      <c r="O450" s="45"/>
    </row>
    <row r="451" spans="1:15">
      <c r="A451" s="56"/>
      <c r="B451" s="56"/>
      <c r="C451" s="56"/>
      <c r="D451" s="168" t="s">
        <v>838</v>
      </c>
      <c r="E451" s="219">
        <f>+E442</f>
        <v>300000</v>
      </c>
      <c r="F451" s="219">
        <f t="shared" si="26"/>
        <v>0</v>
      </c>
      <c r="G451" s="219">
        <f t="shared" si="26"/>
        <v>0</v>
      </c>
      <c r="H451" s="219">
        <f t="shared" si="26"/>
        <v>0</v>
      </c>
      <c r="I451" s="219">
        <f t="shared" si="26"/>
        <v>0</v>
      </c>
      <c r="J451" s="219">
        <f t="shared" si="26"/>
        <v>0</v>
      </c>
      <c r="K451" s="219">
        <f t="shared" si="26"/>
        <v>0</v>
      </c>
      <c r="L451" s="219">
        <f t="shared" si="26"/>
        <v>0</v>
      </c>
      <c r="M451" s="220">
        <f>+M442</f>
        <v>300000</v>
      </c>
      <c r="N451" s="45" t="s">
        <v>422</v>
      </c>
      <c r="O451" s="45" t="s">
        <v>443</v>
      </c>
    </row>
    <row r="452" spans="1:15" ht="15" customHeight="1">
      <c r="A452" s="56"/>
      <c r="B452" s="56"/>
      <c r="C452" s="56"/>
      <c r="D452" s="161" t="s">
        <v>839</v>
      </c>
      <c r="E452" s="215">
        <f>+E443</f>
        <v>4000000</v>
      </c>
      <c r="F452" s="215">
        <f t="shared" si="26"/>
        <v>0</v>
      </c>
      <c r="G452" s="215">
        <f t="shared" si="26"/>
        <v>0</v>
      </c>
      <c r="H452" s="215">
        <f t="shared" si="26"/>
        <v>0</v>
      </c>
      <c r="I452" s="215">
        <f t="shared" si="26"/>
        <v>0</v>
      </c>
      <c r="J452" s="215">
        <f t="shared" si="26"/>
        <v>0</v>
      </c>
      <c r="K452" s="215">
        <f t="shared" si="26"/>
        <v>0</v>
      </c>
      <c r="L452" s="215">
        <f t="shared" si="26"/>
        <v>0</v>
      </c>
      <c r="M452" s="221">
        <f>+M443</f>
        <v>4000000</v>
      </c>
      <c r="N452" s="45" t="s">
        <v>426</v>
      </c>
      <c r="O452" s="45" t="s">
        <v>444</v>
      </c>
    </row>
    <row r="453" spans="1:15">
      <c r="A453" s="56"/>
      <c r="B453" s="56"/>
      <c r="C453" s="56"/>
      <c r="D453" s="161" t="s">
        <v>446</v>
      </c>
      <c r="E453" s="42" t="s">
        <v>844</v>
      </c>
      <c r="F453" s="42" t="s">
        <v>844</v>
      </c>
      <c r="G453" s="42" t="s">
        <v>844</v>
      </c>
      <c r="H453" s="42" t="s">
        <v>844</v>
      </c>
      <c r="I453" s="42" t="s">
        <v>844</v>
      </c>
      <c r="J453" s="42" t="s">
        <v>844</v>
      </c>
      <c r="K453" s="42" t="s">
        <v>844</v>
      </c>
      <c r="L453" s="42" t="s">
        <v>844</v>
      </c>
      <c r="M453" s="222"/>
      <c r="N453" s="45" t="s">
        <v>437</v>
      </c>
      <c r="O453" s="45" t="s">
        <v>445</v>
      </c>
    </row>
    <row r="454" spans="1:15">
      <c r="A454" s="56"/>
      <c r="B454" s="56"/>
      <c r="C454" s="56"/>
      <c r="D454" s="161" t="s">
        <v>448</v>
      </c>
      <c r="E454" s="42">
        <v>0</v>
      </c>
      <c r="F454" s="42">
        <v>0</v>
      </c>
      <c r="G454" s="42">
        <v>0</v>
      </c>
      <c r="H454" s="42">
        <v>0</v>
      </c>
      <c r="I454" s="42">
        <v>0</v>
      </c>
      <c r="J454" s="42">
        <v>0</v>
      </c>
      <c r="K454" s="42">
        <v>0</v>
      </c>
      <c r="L454" s="42">
        <v>0</v>
      </c>
      <c r="M454" s="204">
        <f>SUM(E454:L454)</f>
        <v>0</v>
      </c>
      <c r="N454" s="45" t="s">
        <v>422</v>
      </c>
      <c r="O454" s="45" t="s">
        <v>447</v>
      </c>
    </row>
    <row r="455" spans="1:15" ht="16" thickBot="1">
      <c r="A455" s="56"/>
      <c r="B455" s="56"/>
      <c r="C455" s="56"/>
      <c r="D455" s="162" t="s">
        <v>450</v>
      </c>
      <c r="E455" s="106">
        <v>0</v>
      </c>
      <c r="F455" s="106">
        <v>0</v>
      </c>
      <c r="G455" s="106">
        <v>0</v>
      </c>
      <c r="H455" s="106">
        <v>0</v>
      </c>
      <c r="I455" s="106">
        <v>0</v>
      </c>
      <c r="J455" s="106">
        <v>0</v>
      </c>
      <c r="K455" s="106">
        <v>0</v>
      </c>
      <c r="L455" s="106">
        <v>0</v>
      </c>
      <c r="M455" s="206">
        <f>SUM(E455:L455)</f>
        <v>0</v>
      </c>
      <c r="N455" s="45" t="s">
        <v>426</v>
      </c>
      <c r="O455" s="45" t="s">
        <v>449</v>
      </c>
    </row>
    <row r="456" spans="1:15" ht="15" customHeight="1" thickBot="1"/>
    <row r="457" spans="1:15" ht="15" hidden="1" customHeight="1" thickBot="1"/>
    <row r="458" spans="1:15" ht="16" thickBot="1">
      <c r="D458" s="296" t="s">
        <v>451</v>
      </c>
      <c r="E458" s="298" t="s">
        <v>102</v>
      </c>
      <c r="F458" s="10"/>
      <c r="G458" s="10"/>
      <c r="H458" s="10"/>
      <c r="I458" s="10"/>
      <c r="J458" s="10"/>
      <c r="K458" s="10"/>
      <c r="L458" s="10"/>
      <c r="M458" s="10"/>
      <c r="N458" s="10"/>
    </row>
    <row r="459" spans="1:15" ht="16" thickBot="1">
      <c r="D459" s="296" t="s">
        <v>845</v>
      </c>
      <c r="E459" s="298"/>
      <c r="F459" s="5"/>
      <c r="G459" s="5"/>
      <c r="H459" s="5"/>
      <c r="I459" s="5"/>
      <c r="J459" s="5"/>
      <c r="K459" s="5"/>
      <c r="L459" s="5"/>
      <c r="M459" s="5"/>
      <c r="N459" s="5"/>
    </row>
    <row r="460" spans="1:15">
      <c r="D460" s="202" t="s">
        <v>846</v>
      </c>
      <c r="E460" s="195"/>
      <c r="F460" s="45" t="s">
        <v>452</v>
      </c>
      <c r="G460" s="5"/>
      <c r="H460" s="5"/>
      <c r="I460" s="5"/>
      <c r="J460" s="5"/>
      <c r="K460" s="5"/>
      <c r="L460" s="5"/>
      <c r="M460" s="5"/>
      <c r="N460" s="5"/>
    </row>
    <row r="461" spans="1:15" ht="16" thickBot="1">
      <c r="D461" s="208" t="s">
        <v>847</v>
      </c>
      <c r="E461" s="112"/>
      <c r="F461" s="45" t="s">
        <v>374</v>
      </c>
      <c r="G461" s="5"/>
      <c r="H461" s="5"/>
      <c r="I461" s="56"/>
      <c r="J461" s="56"/>
      <c r="K461" s="56"/>
      <c r="L461" s="56"/>
      <c r="M461" s="5"/>
      <c r="N461" s="5"/>
    </row>
    <row r="462" spans="1:15">
      <c r="D462" s="216" t="s">
        <v>848</v>
      </c>
      <c r="E462" s="217" t="s">
        <v>849</v>
      </c>
      <c r="F462" s="218" t="s">
        <v>850</v>
      </c>
      <c r="G462" s="5"/>
      <c r="H462" s="5"/>
      <c r="I462" s="56"/>
      <c r="J462" s="56"/>
      <c r="K462" s="56"/>
      <c r="L462" s="56"/>
      <c r="M462" s="5"/>
      <c r="N462" s="5"/>
    </row>
    <row r="463" spans="1:15">
      <c r="D463" s="24" t="s">
        <v>851</v>
      </c>
      <c r="E463" s="42"/>
      <c r="F463" s="41"/>
      <c r="G463" s="45" t="s">
        <v>10</v>
      </c>
      <c r="H463" s="5"/>
      <c r="I463" s="56"/>
      <c r="J463" s="56"/>
      <c r="K463" s="56"/>
      <c r="L463" s="56"/>
      <c r="M463" s="5"/>
      <c r="N463" s="5"/>
    </row>
    <row r="464" spans="1:15">
      <c r="D464" s="24" t="s">
        <v>852</v>
      </c>
      <c r="E464" s="42"/>
      <c r="F464" s="41"/>
      <c r="G464" s="45" t="s">
        <v>14</v>
      </c>
      <c r="H464" s="5"/>
      <c r="I464" s="56"/>
      <c r="J464" s="56"/>
      <c r="K464" s="56"/>
      <c r="L464" s="56"/>
      <c r="M464" s="5"/>
      <c r="N464" s="5"/>
    </row>
    <row r="465" spans="4:14">
      <c r="D465" s="24" t="s">
        <v>853</v>
      </c>
      <c r="E465" s="42"/>
      <c r="F465" s="41"/>
      <c r="G465" s="45" t="s">
        <v>16</v>
      </c>
      <c r="H465" s="5"/>
      <c r="I465" s="5"/>
      <c r="J465" s="5"/>
      <c r="K465" s="5"/>
      <c r="L465" s="5"/>
      <c r="M465" s="5"/>
      <c r="N465" s="5"/>
    </row>
    <row r="466" spans="4:14">
      <c r="D466" s="24" t="s">
        <v>854</v>
      </c>
      <c r="E466" s="42"/>
      <c r="F466" s="41"/>
      <c r="G466" s="45" t="s">
        <v>453</v>
      </c>
      <c r="H466" s="5"/>
      <c r="I466" s="5"/>
      <c r="J466" s="5"/>
      <c r="K466" s="5"/>
      <c r="L466" s="5"/>
      <c r="M466" s="5"/>
      <c r="N466" s="5"/>
    </row>
    <row r="467" spans="4:14">
      <c r="D467" s="24" t="s">
        <v>855</v>
      </c>
      <c r="E467" s="42"/>
      <c r="F467" s="41"/>
      <c r="G467" s="45" t="s">
        <v>408</v>
      </c>
      <c r="H467" s="5"/>
      <c r="I467" s="5"/>
      <c r="J467" s="5"/>
      <c r="K467" s="5"/>
      <c r="L467" s="5"/>
      <c r="M467" s="5"/>
      <c r="N467" s="5"/>
    </row>
    <row r="468" spans="4:14">
      <c r="D468" s="24" t="s">
        <v>856</v>
      </c>
      <c r="E468" s="42"/>
      <c r="F468" s="41"/>
      <c r="G468" s="45" t="s">
        <v>418</v>
      </c>
      <c r="H468" s="5"/>
      <c r="I468" s="5"/>
      <c r="J468" s="5"/>
      <c r="K468" s="5"/>
      <c r="L468" s="5"/>
      <c r="M468" s="5"/>
      <c r="N468" s="5"/>
    </row>
    <row r="469" spans="4:14" ht="16" thickBot="1">
      <c r="D469" s="25" t="s">
        <v>857</v>
      </c>
      <c r="E469" s="381"/>
      <c r="F469" s="382"/>
      <c r="G469" s="45" t="s">
        <v>414</v>
      </c>
      <c r="H469" s="5"/>
      <c r="I469" s="5"/>
      <c r="J469" s="5"/>
      <c r="K469" s="5"/>
      <c r="L469" s="5"/>
      <c r="M469" s="5"/>
      <c r="N469" s="5"/>
    </row>
    <row r="470" spans="4:14" ht="16" thickBot="1">
      <c r="E470" s="5"/>
      <c r="F470" s="5"/>
      <c r="G470" s="5"/>
      <c r="H470" s="5"/>
      <c r="I470" s="5"/>
      <c r="J470" s="5"/>
      <c r="K470" s="5"/>
      <c r="L470" s="5"/>
      <c r="M470" s="5"/>
      <c r="N470" s="5"/>
    </row>
    <row r="471" spans="4:14" ht="16" thickBot="1">
      <c r="D471" s="296" t="s">
        <v>858</v>
      </c>
      <c r="E471" s="298" t="s">
        <v>455</v>
      </c>
      <c r="F471" s="45" t="s">
        <v>454</v>
      </c>
      <c r="G471" s="5"/>
      <c r="H471" s="5"/>
      <c r="I471" s="5"/>
      <c r="J471" s="5"/>
      <c r="K471" s="5"/>
      <c r="L471" s="5"/>
      <c r="M471" s="5"/>
      <c r="N471" s="5"/>
    </row>
    <row r="472" spans="4:14">
      <c r="D472" s="202" t="s">
        <v>859</v>
      </c>
      <c r="E472" s="195"/>
      <c r="F472" s="45" t="s">
        <v>101</v>
      </c>
      <c r="G472" s="5"/>
      <c r="H472" s="5"/>
      <c r="I472" s="5"/>
      <c r="J472" s="5"/>
      <c r="K472" s="5"/>
      <c r="L472" s="5"/>
      <c r="M472" s="5"/>
      <c r="N472" s="5"/>
    </row>
    <row r="473" spans="4:14">
      <c r="D473" s="24" t="s">
        <v>860</v>
      </c>
      <c r="E473" s="41"/>
      <c r="F473" s="45" t="s">
        <v>456</v>
      </c>
      <c r="G473" s="56"/>
      <c r="H473" s="5"/>
      <c r="I473" s="5"/>
      <c r="J473" s="5"/>
      <c r="K473" s="5"/>
      <c r="L473" s="5"/>
      <c r="M473" s="5"/>
      <c r="N473" s="5"/>
    </row>
    <row r="474" spans="4:14">
      <c r="D474" s="24" t="s">
        <v>861</v>
      </c>
      <c r="E474" s="41"/>
      <c r="F474" s="45" t="s">
        <v>457</v>
      </c>
      <c r="G474" s="5"/>
      <c r="H474" s="5"/>
      <c r="I474" s="5"/>
      <c r="J474" s="5"/>
      <c r="K474" s="5"/>
      <c r="L474" s="5"/>
      <c r="M474" s="5"/>
      <c r="N474" s="5"/>
    </row>
    <row r="475" spans="4:14" ht="16" thickBot="1">
      <c r="D475" s="25" t="s">
        <v>862</v>
      </c>
      <c r="E475" s="99"/>
      <c r="F475" s="45" t="s">
        <v>414</v>
      </c>
      <c r="G475" s="56"/>
      <c r="H475" s="56"/>
      <c r="I475" s="56"/>
      <c r="J475" s="5"/>
      <c r="K475" s="5"/>
      <c r="L475" s="5"/>
      <c r="M475" s="5"/>
      <c r="N475" s="5"/>
    </row>
    <row r="476" spans="4:14" ht="16" thickBot="1">
      <c r="D476" s="8"/>
      <c r="E476" s="5"/>
      <c r="F476" s="11"/>
      <c r="G476" s="9"/>
      <c r="H476" s="8"/>
      <c r="I476" s="8"/>
      <c r="J476" s="9"/>
      <c r="K476" s="9"/>
      <c r="L476" s="9"/>
      <c r="N476" s="8"/>
    </row>
    <row r="477" spans="4:14" ht="16" thickBot="1">
      <c r="D477" s="311" t="s">
        <v>863</v>
      </c>
      <c r="E477" s="312"/>
    </row>
    <row r="478" spans="4:14">
      <c r="D478" s="223" t="s">
        <v>867</v>
      </c>
      <c r="E478" s="195"/>
    </row>
    <row r="479" spans="4:14">
      <c r="D479" s="93" t="s">
        <v>868</v>
      </c>
      <c r="E479" s="41"/>
    </row>
    <row r="480" spans="4:14">
      <c r="D480" s="93" t="s">
        <v>869</v>
      </c>
      <c r="E480" s="41"/>
    </row>
    <row r="481" spans="4:5">
      <c r="D481" s="93" t="s">
        <v>870</v>
      </c>
      <c r="E481" s="41"/>
    </row>
    <row r="482" spans="4:5">
      <c r="D482" s="93" t="s">
        <v>871</v>
      </c>
      <c r="E482" s="41"/>
    </row>
    <row r="483" spans="4:5">
      <c r="D483" s="93" t="s">
        <v>872</v>
      </c>
      <c r="E483" s="41" t="s">
        <v>650</v>
      </c>
    </row>
    <row r="484" spans="4:5">
      <c r="D484" s="93" t="s">
        <v>864</v>
      </c>
      <c r="E484" s="41"/>
    </row>
    <row r="485" spans="4:5">
      <c r="D485" s="93" t="s">
        <v>865</v>
      </c>
      <c r="E485" s="41"/>
    </row>
    <row r="486" spans="4:5">
      <c r="D486" s="93" t="s">
        <v>866</v>
      </c>
      <c r="E486" s="41"/>
    </row>
    <row r="487" spans="4:5">
      <c r="D487" s="93" t="s">
        <v>873</v>
      </c>
      <c r="E487" s="41" t="s">
        <v>650</v>
      </c>
    </row>
    <row r="488" spans="4:5" ht="16" thickBot="1">
      <c r="D488" s="158" t="s">
        <v>874</v>
      </c>
      <c r="E488" s="99" t="s">
        <v>650</v>
      </c>
    </row>
    <row r="489" spans="4:5" ht="16" thickBot="1"/>
    <row r="490" spans="4:5" ht="16" thickBot="1">
      <c r="D490" s="311" t="s">
        <v>875</v>
      </c>
      <c r="E490" s="312"/>
    </row>
    <row r="491" spans="4:5" ht="16" thickBot="1">
      <c r="D491" s="311" t="s">
        <v>876</v>
      </c>
      <c r="E491" s="312"/>
    </row>
    <row r="492" spans="4:5">
      <c r="D492" s="388" t="s">
        <v>877</v>
      </c>
      <c r="E492" s="389"/>
    </row>
    <row r="493" spans="4:5">
      <c r="D493" s="93" t="s">
        <v>880</v>
      </c>
      <c r="E493" s="41"/>
    </row>
    <row r="494" spans="4:5">
      <c r="D494" s="93" t="s">
        <v>881</v>
      </c>
      <c r="E494" s="41"/>
    </row>
    <row r="495" spans="4:5" ht="16" thickBot="1">
      <c r="D495" s="158" t="s">
        <v>882</v>
      </c>
      <c r="E495" s="41"/>
    </row>
    <row r="496" spans="4:5">
      <c r="D496" s="388" t="s">
        <v>878</v>
      </c>
      <c r="E496" s="389"/>
    </row>
    <row r="497" spans="4:11">
      <c r="D497" s="93" t="s">
        <v>883</v>
      </c>
      <c r="E497" s="41"/>
    </row>
    <row r="498" spans="4:11">
      <c r="D498" s="93" t="s">
        <v>884</v>
      </c>
      <c r="E498" s="41"/>
    </row>
    <row r="499" spans="4:11">
      <c r="D499" s="93" t="s">
        <v>885</v>
      </c>
      <c r="E499" s="41"/>
    </row>
    <row r="500" spans="4:11" ht="16" thickBot="1">
      <c r="D500" s="158" t="s">
        <v>886</v>
      </c>
      <c r="E500" s="41"/>
    </row>
    <row r="501" spans="4:11">
      <c r="D501" s="388" t="s">
        <v>879</v>
      </c>
      <c r="E501" s="389"/>
    </row>
    <row r="502" spans="4:11">
      <c r="D502" s="93" t="s">
        <v>887</v>
      </c>
      <c r="E502" s="41"/>
    </row>
    <row r="503" spans="4:11">
      <c r="D503" s="93" t="s">
        <v>888</v>
      </c>
      <c r="E503" s="41"/>
    </row>
    <row r="504" spans="4:11" ht="16" thickBot="1">
      <c r="D504" s="158" t="s">
        <v>889</v>
      </c>
      <c r="E504" s="99"/>
    </row>
    <row r="505" spans="4:11" ht="16" thickBot="1"/>
    <row r="506" spans="4:11" ht="16" thickBot="1">
      <c r="D506" s="390" t="s">
        <v>890</v>
      </c>
      <c r="E506" s="391"/>
    </row>
    <row r="507" spans="4:11">
      <c r="D507" s="223" t="s">
        <v>891</v>
      </c>
      <c r="E507" s="195"/>
    </row>
    <row r="508" spans="4:11">
      <c r="D508" s="93" t="s">
        <v>892</v>
      </c>
      <c r="E508" s="41"/>
    </row>
    <row r="509" spans="4:11" ht="16" thickBot="1">
      <c r="D509" s="158" t="s">
        <v>893</v>
      </c>
      <c r="E509" s="99"/>
    </row>
    <row r="510" spans="4:11" ht="16" thickBot="1"/>
    <row r="511" spans="4:11" ht="16" thickBot="1">
      <c r="D511" s="392" t="s">
        <v>894</v>
      </c>
      <c r="E511" s="393"/>
    </row>
    <row r="512" spans="4:11">
      <c r="D512" s="223" t="s">
        <v>895</v>
      </c>
      <c r="E512" s="225" t="s">
        <v>896</v>
      </c>
      <c r="F512" s="225" t="s">
        <v>897</v>
      </c>
      <c r="G512" s="225" t="s">
        <v>898</v>
      </c>
      <c r="H512" s="225" t="s">
        <v>899</v>
      </c>
      <c r="I512" s="225" t="s">
        <v>900</v>
      </c>
      <c r="J512" s="225" t="s">
        <v>901</v>
      </c>
      <c r="K512" s="224" t="s">
        <v>902</v>
      </c>
    </row>
    <row r="513" spans="4:11" ht="16" thickBot="1">
      <c r="D513" s="107"/>
      <c r="E513" s="106"/>
      <c r="F513" s="106"/>
      <c r="G513" s="106"/>
      <c r="H513" s="106"/>
      <c r="I513" s="106"/>
      <c r="J513" s="106"/>
      <c r="K513" s="99"/>
    </row>
  </sheetData>
  <mergeCells count="166">
    <mergeCell ref="D491:E491"/>
    <mergeCell ref="D492:E492"/>
    <mergeCell ref="D496:E496"/>
    <mergeCell ref="D501:E501"/>
    <mergeCell ref="D506:E506"/>
    <mergeCell ref="D511:E511"/>
    <mergeCell ref="D458:E458"/>
    <mergeCell ref="D459:E459"/>
    <mergeCell ref="E469:F469"/>
    <mergeCell ref="D471:E471"/>
    <mergeCell ref="D477:E477"/>
    <mergeCell ref="D490:E490"/>
    <mergeCell ref="D433:E433"/>
    <mergeCell ref="D436:E436"/>
    <mergeCell ref="D440:M440"/>
    <mergeCell ref="P442:AD442"/>
    <mergeCell ref="P443:AD443"/>
    <mergeCell ref="D449:M449"/>
    <mergeCell ref="D413:L413"/>
    <mergeCell ref="D418:E418"/>
    <mergeCell ref="D419:E419"/>
    <mergeCell ref="D428:E428"/>
    <mergeCell ref="D429:E429"/>
    <mergeCell ref="D430:E430"/>
    <mergeCell ref="D388:M388"/>
    <mergeCell ref="D393:M393"/>
    <mergeCell ref="D396:M396"/>
    <mergeCell ref="D399:E399"/>
    <mergeCell ref="D405:E405"/>
    <mergeCell ref="D406:E406"/>
    <mergeCell ref="O367:AC369"/>
    <mergeCell ref="O370:AC372"/>
    <mergeCell ref="O373:AC375"/>
    <mergeCell ref="D380:M380"/>
    <mergeCell ref="D381:M381"/>
    <mergeCell ref="D383:M383"/>
    <mergeCell ref="P343:AD343"/>
    <mergeCell ref="D348:L348"/>
    <mergeCell ref="D350:L350"/>
    <mergeCell ref="O351:AC351"/>
    <mergeCell ref="D354:L354"/>
    <mergeCell ref="O364:AC366"/>
    <mergeCell ref="P333:AD333"/>
    <mergeCell ref="P334:AD334"/>
    <mergeCell ref="P335:AD335"/>
    <mergeCell ref="P336:AD336"/>
    <mergeCell ref="P337:AD337"/>
    <mergeCell ref="P338:AD338"/>
    <mergeCell ref="P327:AD327"/>
    <mergeCell ref="P328:AD328"/>
    <mergeCell ref="P329:AD329"/>
    <mergeCell ref="P330:AD330"/>
    <mergeCell ref="P331:AD331"/>
    <mergeCell ref="P332:AD332"/>
    <mergeCell ref="P307:AD307"/>
    <mergeCell ref="P308:AD308"/>
    <mergeCell ref="P310:AD310"/>
    <mergeCell ref="D313:M313"/>
    <mergeCell ref="D323:M323"/>
    <mergeCell ref="D326:L326"/>
    <mergeCell ref="P299:AD299"/>
    <mergeCell ref="P300:AD300"/>
    <mergeCell ref="P301:AD301"/>
    <mergeCell ref="P302:AD302"/>
    <mergeCell ref="P303:AD303"/>
    <mergeCell ref="P304:AD304"/>
    <mergeCell ref="D293:M293"/>
    <mergeCell ref="P294:AD294"/>
    <mergeCell ref="P295:AD295"/>
    <mergeCell ref="P296:AD296"/>
    <mergeCell ref="P297:AD297"/>
    <mergeCell ref="P298:AD298"/>
    <mergeCell ref="D263:M263"/>
    <mergeCell ref="P265:AD265"/>
    <mergeCell ref="D273:M273"/>
    <mergeCell ref="D281:M281"/>
    <mergeCell ref="D289:M289"/>
    <mergeCell ref="D290:M290"/>
    <mergeCell ref="P254:AD254"/>
    <mergeCell ref="P255:AD255"/>
    <mergeCell ref="P257:AD257"/>
    <mergeCell ref="P258:AD258"/>
    <mergeCell ref="P259:AD259"/>
    <mergeCell ref="P260:AD260"/>
    <mergeCell ref="P245:AD245"/>
    <mergeCell ref="P247:AD247"/>
    <mergeCell ref="P248:AD248"/>
    <mergeCell ref="P251:AD251"/>
    <mergeCell ref="P252:AD252"/>
    <mergeCell ref="P253:AD253"/>
    <mergeCell ref="P239:AD239"/>
    <mergeCell ref="P240:AD240"/>
    <mergeCell ref="P241:AD241"/>
    <mergeCell ref="P242:AD242"/>
    <mergeCell ref="P243:AD243"/>
    <mergeCell ref="P244:AD244"/>
    <mergeCell ref="D231:M231"/>
    <mergeCell ref="D234:M234"/>
    <mergeCell ref="P235:AD235"/>
    <mergeCell ref="P236:AD236"/>
    <mergeCell ref="P237:AD237"/>
    <mergeCell ref="P238:AD238"/>
    <mergeCell ref="D222:E222"/>
    <mergeCell ref="G222:P222"/>
    <mergeCell ref="D223:E223"/>
    <mergeCell ref="D226:E226"/>
    <mergeCell ref="F226:F228"/>
    <mergeCell ref="D230:M230"/>
    <mergeCell ref="D209:D210"/>
    <mergeCell ref="E209:E210"/>
    <mergeCell ref="F209:I209"/>
    <mergeCell ref="K209:K215"/>
    <mergeCell ref="D217:F217"/>
    <mergeCell ref="G218:G219"/>
    <mergeCell ref="H197:Q197"/>
    <mergeCell ref="D199:E199"/>
    <mergeCell ref="D200:E200"/>
    <mergeCell ref="D206:E206"/>
    <mergeCell ref="G207:P207"/>
    <mergeCell ref="D208:J208"/>
    <mergeCell ref="G186:Q186"/>
    <mergeCell ref="G187:Q187"/>
    <mergeCell ref="G188:Q188"/>
    <mergeCell ref="G189:Q189"/>
    <mergeCell ref="G190:G195"/>
    <mergeCell ref="H191:Q191"/>
    <mergeCell ref="H192:Q192"/>
    <mergeCell ref="H193:Q193"/>
    <mergeCell ref="H194:Q194"/>
    <mergeCell ref="D172:G172"/>
    <mergeCell ref="D176:H176"/>
    <mergeCell ref="J177:N179"/>
    <mergeCell ref="D182:E182"/>
    <mergeCell ref="D183:E183"/>
    <mergeCell ref="D184:E184"/>
    <mergeCell ref="D154:E154"/>
    <mergeCell ref="D155:E155"/>
    <mergeCell ref="D160:F160"/>
    <mergeCell ref="D166:E166"/>
    <mergeCell ref="D168:E168"/>
    <mergeCell ref="D169:E169"/>
    <mergeCell ref="D119:E119"/>
    <mergeCell ref="E120:E122"/>
    <mergeCell ref="D123:E123"/>
    <mergeCell ref="D126:E126"/>
    <mergeCell ref="D147:F147"/>
    <mergeCell ref="H147:M151"/>
    <mergeCell ref="G148:G151"/>
    <mergeCell ref="G106:G109"/>
    <mergeCell ref="D109:E109"/>
    <mergeCell ref="D112:E112"/>
    <mergeCell ref="D113:E113"/>
    <mergeCell ref="D114:F114"/>
    <mergeCell ref="E115:E118"/>
    <mergeCell ref="D71:E71"/>
    <mergeCell ref="D72:E72"/>
    <mergeCell ref="I76:R76"/>
    <mergeCell ref="D98:E98"/>
    <mergeCell ref="H98:K102"/>
    <mergeCell ref="D105:F105"/>
    <mergeCell ref="D2:E2"/>
    <mergeCell ref="D3:E3"/>
    <mergeCell ref="D9:E9"/>
    <mergeCell ref="D30:E30"/>
    <mergeCell ref="D31:E31"/>
    <mergeCell ref="D39:E39"/>
  </mergeCells>
  <dataValidations count="4">
    <dataValidation type="list" allowBlank="1" showInputMessage="1" showErrorMessage="1" sqref="D178:D179" xr:uid="{AE3804A9-9FB4-45DA-841C-7A7DFCD6C1AF}">
      <formula1>$A$178:$A$179</formula1>
    </dataValidation>
    <dataValidation type="list" allowBlank="1" showInputMessage="1" showErrorMessage="1" sqref="E186:E189 E207 E224 E483 E373:L373 E376:L376 E358:L358 E361:L361 E364:L364 E367:L367 E370:L370 E487:E488 E351:L355" xr:uid="{7C7A8803-0C7E-4D4C-858C-DDB49D24C1C3}">
      <formula1>$A$186:$A$188</formula1>
    </dataValidation>
    <dataValidation type="list" allowBlank="1" showInputMessage="1" showErrorMessage="1" sqref="E162:F164 E191:F195 E197:F197" xr:uid="{AC7857FA-749F-4121-BFE4-DACC48F44584}">
      <formula1>$A$162:$A$163</formula1>
    </dataValidation>
    <dataValidation type="list" allowBlank="1" showInputMessage="1" showErrorMessage="1" sqref="D228:E228" xr:uid="{16D23B94-134A-4131-92DA-4AD3F79010AB}">
      <formula1>$A$228:$A$229</formula1>
    </dataValidation>
  </dataValidations>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823A1-FDE5-49E6-B2EA-A2235D7BB21C}">
  <dimension ref="A1:AD513"/>
  <sheetViews>
    <sheetView tabSelected="1" zoomScale="50" zoomScaleNormal="50" workbookViewId="0">
      <selection activeCell="D326" sqref="D326:L326"/>
    </sheetView>
  </sheetViews>
  <sheetFormatPr baseColWidth="10" defaultColWidth="8.25" defaultRowHeight="15.5"/>
  <cols>
    <col min="1" max="3" width="14.33203125" style="14" customWidth="1"/>
    <col min="4" max="4" width="119.58203125" style="14" customWidth="1"/>
    <col min="5" max="5" width="61.75" style="14" customWidth="1"/>
    <col min="6" max="6" width="45.4140625" style="14" customWidth="1"/>
    <col min="7" max="8" width="45.9140625" style="14" customWidth="1"/>
    <col min="9" max="9" width="61.4140625" style="14" customWidth="1"/>
    <col min="10" max="10" width="62.4140625" style="14" customWidth="1"/>
    <col min="11" max="12" width="45.9140625" style="14" customWidth="1"/>
    <col min="13" max="13" width="25" style="14" customWidth="1"/>
    <col min="14" max="14" width="22.5" style="14" customWidth="1"/>
    <col min="15" max="15" width="22.58203125" style="56" customWidth="1"/>
    <col min="16" max="16384" width="8.25" style="56"/>
  </cols>
  <sheetData>
    <row r="1" spans="1:14" ht="16" thickBot="1"/>
    <row r="2" spans="1:14" ht="25.5" thickBot="1">
      <c r="D2" s="263" t="s">
        <v>458</v>
      </c>
      <c r="E2" s="265"/>
      <c r="F2" s="7"/>
      <c r="G2" s="7"/>
      <c r="H2" s="7"/>
      <c r="I2" s="7"/>
      <c r="J2" s="7"/>
      <c r="K2" s="13"/>
      <c r="L2" s="7"/>
      <c r="M2" s="7"/>
    </row>
    <row r="3" spans="1:14" ht="31" customHeight="1">
      <c r="A3" s="7"/>
      <c r="B3" s="7"/>
      <c r="C3" s="7"/>
      <c r="D3" s="308" t="s">
        <v>459</v>
      </c>
      <c r="E3" s="308"/>
      <c r="F3" s="7"/>
      <c r="G3" s="7"/>
      <c r="H3" s="7"/>
      <c r="I3" s="7"/>
      <c r="J3" s="7"/>
      <c r="K3" s="7"/>
      <c r="L3" s="7"/>
      <c r="M3" s="7"/>
      <c r="N3" s="7"/>
    </row>
    <row r="4" spans="1:14">
      <c r="A4" s="7"/>
      <c r="B4" s="7"/>
      <c r="C4" s="7"/>
      <c r="D4" s="7"/>
      <c r="E4" s="7"/>
      <c r="F4" s="7"/>
      <c r="G4" s="7"/>
      <c r="H4" s="7"/>
      <c r="I4" s="7"/>
      <c r="J4" s="7"/>
      <c r="K4" s="7"/>
      <c r="L4" s="7"/>
      <c r="M4" s="7"/>
      <c r="N4" s="7"/>
    </row>
    <row r="5" spans="1:14">
      <c r="A5" s="7"/>
      <c r="B5" s="7"/>
      <c r="C5" s="7"/>
      <c r="D5" s="7" t="s">
        <v>461</v>
      </c>
      <c r="E5" s="57" t="s">
        <v>460</v>
      </c>
      <c r="F5" s="7"/>
      <c r="G5" s="7"/>
      <c r="H5" s="7"/>
      <c r="I5" s="7"/>
      <c r="J5" s="7"/>
      <c r="K5" s="7"/>
      <c r="L5" s="7"/>
      <c r="M5" s="7"/>
      <c r="N5" s="7"/>
    </row>
    <row r="6" spans="1:14">
      <c r="A6" s="7"/>
      <c r="B6" s="7"/>
      <c r="C6" s="7"/>
      <c r="D6" s="7" t="s">
        <v>482</v>
      </c>
      <c r="E6" s="58" t="s">
        <v>483</v>
      </c>
      <c r="F6" s="7"/>
      <c r="G6" s="7"/>
      <c r="H6" s="7"/>
      <c r="I6" s="7"/>
      <c r="J6" s="7"/>
      <c r="K6" s="7"/>
      <c r="L6" s="7"/>
      <c r="M6" s="7"/>
      <c r="N6" s="7"/>
    </row>
    <row r="7" spans="1:14">
      <c r="A7" s="7"/>
      <c r="B7" s="7"/>
      <c r="C7" s="7"/>
      <c r="D7" s="7" t="s">
        <v>536</v>
      </c>
      <c r="E7" s="59" t="s">
        <v>537</v>
      </c>
      <c r="F7" s="7"/>
      <c r="G7" s="7"/>
      <c r="H7" s="7"/>
      <c r="I7" s="7"/>
      <c r="J7" s="7"/>
      <c r="K7" s="7"/>
      <c r="L7" s="7"/>
      <c r="M7" s="7"/>
      <c r="N7" s="7"/>
    </row>
    <row r="8" spans="1:14" ht="16" thickBot="1">
      <c r="A8" s="7"/>
      <c r="B8" s="7"/>
      <c r="C8" s="7"/>
      <c r="D8" s="7"/>
      <c r="E8" s="7"/>
      <c r="F8" s="7"/>
      <c r="G8" s="7"/>
      <c r="H8" s="7"/>
      <c r="I8" s="7"/>
      <c r="J8" s="7"/>
      <c r="K8" s="7"/>
      <c r="L8" s="7"/>
      <c r="M8" s="7"/>
      <c r="N8" s="7"/>
    </row>
    <row r="9" spans="1:14" ht="25">
      <c r="D9" s="306" t="s">
        <v>0</v>
      </c>
      <c r="E9" s="307"/>
      <c r="F9" s="7"/>
      <c r="G9" s="7"/>
      <c r="H9" s="7"/>
      <c r="I9" s="7"/>
      <c r="J9" s="7"/>
      <c r="K9" s="7"/>
      <c r="L9" s="7"/>
      <c r="M9" s="7"/>
      <c r="N9" s="7"/>
    </row>
    <row r="10" spans="1:14" ht="17.25" customHeight="1">
      <c r="D10" s="20" t="s">
        <v>463</v>
      </c>
      <c r="E10" s="21" t="s">
        <v>958</v>
      </c>
      <c r="F10" s="7"/>
      <c r="I10" s="7"/>
      <c r="J10" s="7"/>
      <c r="M10" s="7"/>
      <c r="N10" s="7"/>
    </row>
    <row r="11" spans="1:14" ht="17.25" customHeight="1">
      <c r="D11" s="20" t="s">
        <v>651</v>
      </c>
      <c r="E11" s="21" t="s">
        <v>3</v>
      </c>
      <c r="F11" s="7"/>
      <c r="G11" s="7"/>
      <c r="H11" s="7"/>
      <c r="I11" s="7"/>
      <c r="J11" s="7"/>
      <c r="K11" s="7"/>
      <c r="L11" s="7"/>
      <c r="M11" s="7"/>
      <c r="N11" s="7"/>
    </row>
    <row r="12" spans="1:14" ht="17.25" customHeight="1">
      <c r="D12" s="20" t="s">
        <v>652</v>
      </c>
      <c r="E12" s="21" t="s">
        <v>3</v>
      </c>
      <c r="F12" s="7"/>
      <c r="G12" s="7"/>
      <c r="H12" s="7"/>
      <c r="I12" s="7"/>
      <c r="J12" s="7"/>
      <c r="K12" s="7"/>
      <c r="L12" s="7"/>
      <c r="M12" s="7"/>
      <c r="N12" s="7"/>
    </row>
    <row r="13" spans="1:14" ht="17.25" customHeight="1">
      <c r="D13" s="20" t="s">
        <v>464</v>
      </c>
      <c r="E13" s="21" t="s">
        <v>958</v>
      </c>
      <c r="F13" s="7"/>
      <c r="G13" s="7"/>
      <c r="H13" s="7"/>
      <c r="I13" s="7"/>
      <c r="J13" s="7"/>
      <c r="K13" s="7"/>
      <c r="L13" s="7"/>
      <c r="M13" s="7"/>
      <c r="N13" s="7"/>
    </row>
    <row r="14" spans="1:14" ht="17.25" customHeight="1">
      <c r="D14" s="20" t="s">
        <v>465</v>
      </c>
      <c r="E14" s="60">
        <f>+E36</f>
        <v>0.40442655935613681</v>
      </c>
      <c r="F14" s="7"/>
      <c r="G14" s="61"/>
      <c r="H14" s="7"/>
      <c r="I14" s="7"/>
      <c r="J14" s="7"/>
      <c r="K14" s="7"/>
      <c r="L14" s="7"/>
      <c r="M14" s="7"/>
      <c r="N14" s="7"/>
    </row>
    <row r="15" spans="1:14" ht="17.25" customHeight="1">
      <c r="D15" s="20" t="s">
        <v>466</v>
      </c>
      <c r="E15" s="62">
        <f>+E35</f>
        <v>234567</v>
      </c>
      <c r="F15" s="7"/>
      <c r="G15" s="7"/>
      <c r="H15" s="7"/>
      <c r="I15" s="7"/>
      <c r="J15" s="7"/>
      <c r="K15" s="7"/>
      <c r="L15" s="7"/>
      <c r="M15" s="7"/>
      <c r="N15" s="7"/>
    </row>
    <row r="16" spans="1:14" ht="17.25" customHeight="1">
      <c r="D16" s="20" t="s">
        <v>467</v>
      </c>
      <c r="E16" s="62">
        <f>+E33</f>
        <v>579999</v>
      </c>
      <c r="F16" s="7"/>
      <c r="G16" s="7"/>
      <c r="H16" s="7"/>
      <c r="I16" s="7"/>
      <c r="J16" s="7"/>
      <c r="K16" s="7"/>
      <c r="L16" s="7"/>
      <c r="M16" s="7"/>
      <c r="N16" s="7"/>
    </row>
    <row r="17" spans="2:14" ht="17.25" customHeight="1">
      <c r="D17" s="20" t="s">
        <v>468</v>
      </c>
      <c r="E17" s="62">
        <f>+E437</f>
        <v>341400</v>
      </c>
      <c r="F17" s="7"/>
      <c r="G17" s="61"/>
      <c r="H17" s="63"/>
      <c r="I17" s="7"/>
      <c r="J17" s="7"/>
      <c r="K17" s="7"/>
      <c r="L17" s="7"/>
      <c r="M17" s="7"/>
      <c r="N17" s="7"/>
    </row>
    <row r="18" spans="2:14" ht="17.25" customHeight="1">
      <c r="D18" s="20" t="s">
        <v>469</v>
      </c>
      <c r="E18" s="62">
        <f>+E475</f>
        <v>0</v>
      </c>
      <c r="F18" s="7"/>
      <c r="G18" s="63"/>
      <c r="H18" s="7"/>
      <c r="I18" s="7"/>
      <c r="J18" s="7"/>
      <c r="K18" s="7"/>
      <c r="L18" s="7"/>
      <c r="M18" s="7"/>
      <c r="N18" s="7"/>
    </row>
    <row r="19" spans="2:14" ht="17.25" customHeight="1">
      <c r="D19" s="20" t="s">
        <v>470</v>
      </c>
      <c r="E19" s="64">
        <f>+E425</f>
        <v>0</v>
      </c>
      <c r="F19" s="7"/>
      <c r="G19" s="7"/>
      <c r="H19" s="7"/>
      <c r="I19" s="7"/>
      <c r="J19" s="7"/>
      <c r="K19" s="7"/>
      <c r="L19" s="7"/>
      <c r="M19" s="7"/>
      <c r="N19" s="7"/>
    </row>
    <row r="20" spans="2:14" ht="17.25" customHeight="1">
      <c r="D20" s="20" t="s">
        <v>471</v>
      </c>
      <c r="E20" s="65"/>
      <c r="F20" s="7"/>
      <c r="G20" s="7"/>
      <c r="H20" s="7"/>
      <c r="I20" s="7"/>
      <c r="J20" s="7"/>
      <c r="K20" s="7"/>
      <c r="L20" s="7"/>
      <c r="M20" s="7"/>
      <c r="N20" s="7"/>
    </row>
    <row r="21" spans="2:14" ht="17.25" customHeight="1">
      <c r="D21" s="20" t="s">
        <v>472</v>
      </c>
      <c r="E21" s="66">
        <f>+E73</f>
        <v>234567</v>
      </c>
      <c r="F21" s="7"/>
      <c r="G21" s="7"/>
      <c r="H21" s="7"/>
      <c r="I21" s="7"/>
      <c r="J21" s="7"/>
      <c r="K21" s="7"/>
      <c r="L21" s="7"/>
      <c r="M21" s="7"/>
      <c r="N21" s="7"/>
    </row>
    <row r="22" spans="2:14" ht="17.25" customHeight="1">
      <c r="D22" s="20" t="s">
        <v>462</v>
      </c>
      <c r="E22" s="51">
        <f>+E78</f>
        <v>0</v>
      </c>
      <c r="F22" s="7"/>
      <c r="G22" s="7"/>
      <c r="H22" s="7"/>
      <c r="I22" s="7"/>
      <c r="J22" s="7"/>
      <c r="K22" s="7"/>
      <c r="L22" s="7"/>
      <c r="M22" s="7"/>
      <c r="N22" s="7"/>
    </row>
    <row r="23" spans="2:14" ht="17.25" customHeight="1">
      <c r="D23" s="20" t="s">
        <v>473</v>
      </c>
      <c r="E23" s="51">
        <f>+E81</f>
        <v>0</v>
      </c>
      <c r="F23" s="7"/>
      <c r="G23" s="7"/>
      <c r="H23" s="7"/>
      <c r="I23" s="7"/>
      <c r="J23" s="7"/>
      <c r="K23" s="7"/>
      <c r="L23" s="7"/>
      <c r="M23" s="7"/>
      <c r="N23" s="7"/>
    </row>
    <row r="24" spans="2:14" ht="17.25" customHeight="1">
      <c r="D24" s="20" t="s">
        <v>474</v>
      </c>
      <c r="E24" s="66">
        <f>+F123</f>
        <v>2343</v>
      </c>
      <c r="F24" s="7"/>
      <c r="G24" s="7"/>
      <c r="H24" s="7"/>
      <c r="I24" s="7"/>
      <c r="J24" s="7"/>
      <c r="K24" s="7"/>
      <c r="L24" s="7"/>
      <c r="M24" s="7"/>
      <c r="N24" s="7"/>
    </row>
    <row r="25" spans="2:14" ht="17.25" customHeight="1">
      <c r="D25" s="20" t="s">
        <v>475</v>
      </c>
      <c r="E25" s="51">
        <f>+E55</f>
        <v>0</v>
      </c>
      <c r="F25" s="7"/>
      <c r="G25" s="7"/>
      <c r="H25" s="7"/>
      <c r="I25" s="7"/>
      <c r="J25" s="7"/>
      <c r="K25" s="7"/>
      <c r="L25" s="7"/>
      <c r="M25" s="7"/>
      <c r="N25" s="7"/>
    </row>
    <row r="26" spans="2:14" ht="17.25" customHeight="1">
      <c r="B26" s="56"/>
      <c r="C26" s="56"/>
      <c r="D26" s="20" t="s">
        <v>476</v>
      </c>
      <c r="E26" s="257">
        <f>E93</f>
        <v>0</v>
      </c>
      <c r="F26" s="7"/>
      <c r="G26" s="7"/>
      <c r="H26" s="7"/>
      <c r="I26" s="7"/>
      <c r="J26" s="7"/>
      <c r="K26" s="7"/>
      <c r="L26" s="7"/>
      <c r="M26" s="7"/>
      <c r="N26" s="7"/>
    </row>
    <row r="27" spans="2:14" ht="17.25" customHeight="1" thickBot="1">
      <c r="D27" s="22" t="s">
        <v>477</v>
      </c>
      <c r="E27" s="67"/>
      <c r="F27" s="7"/>
      <c r="G27" s="7"/>
      <c r="H27" s="7"/>
      <c r="I27" s="7"/>
      <c r="J27" s="7"/>
      <c r="K27" s="7"/>
      <c r="L27" s="7"/>
      <c r="M27" s="7"/>
      <c r="N27" s="7"/>
    </row>
    <row r="28" spans="2:14">
      <c r="D28" s="7"/>
      <c r="E28" s="7"/>
      <c r="F28" s="7"/>
      <c r="G28" s="7"/>
      <c r="H28" s="7"/>
      <c r="I28" s="7"/>
      <c r="J28" s="7"/>
      <c r="K28" s="7"/>
      <c r="L28" s="7"/>
      <c r="M28" s="7"/>
      <c r="N28" s="7"/>
    </row>
    <row r="29" spans="2:14" ht="16" thickBot="1">
      <c r="D29" s="10"/>
      <c r="E29" s="7"/>
      <c r="F29" s="7"/>
      <c r="G29" s="7"/>
      <c r="H29" s="7"/>
      <c r="I29" s="7"/>
      <c r="J29" s="7"/>
      <c r="K29" s="7"/>
      <c r="L29" s="7"/>
      <c r="M29" s="7"/>
      <c r="N29" s="7"/>
    </row>
    <row r="30" spans="2:14" ht="25.5" thickBot="1">
      <c r="D30" s="306" t="s">
        <v>4</v>
      </c>
      <c r="E30" s="307" t="s">
        <v>1</v>
      </c>
      <c r="F30" s="7"/>
      <c r="G30" s="7"/>
      <c r="H30" s="7"/>
      <c r="I30" s="7"/>
      <c r="J30" s="7"/>
      <c r="K30" s="68"/>
      <c r="L30" s="7"/>
      <c r="M30" s="7"/>
      <c r="N30" s="7"/>
    </row>
    <row r="31" spans="2:14" ht="20">
      <c r="D31" s="309" t="s">
        <v>6</v>
      </c>
      <c r="E31" s="310" t="s">
        <v>1</v>
      </c>
      <c r="F31" s="69" t="s">
        <v>5</v>
      </c>
      <c r="G31" s="69"/>
      <c r="H31" s="2"/>
      <c r="I31" s="7"/>
      <c r="J31" s="7"/>
      <c r="K31" s="17"/>
    </row>
    <row r="32" spans="2:14">
      <c r="D32" s="23" t="s">
        <v>9</v>
      </c>
      <c r="E32" s="70">
        <f>+M233</f>
        <v>345432</v>
      </c>
      <c r="F32" s="69" t="s">
        <v>7</v>
      </c>
      <c r="G32" s="69" t="s">
        <v>8</v>
      </c>
      <c r="I32" s="7"/>
      <c r="J32" s="7"/>
      <c r="K32" s="68"/>
    </row>
    <row r="33" spans="4:11">
      <c r="D33" s="24" t="s">
        <v>478</v>
      </c>
      <c r="E33" s="70">
        <f>+E68</f>
        <v>579999</v>
      </c>
      <c r="F33" s="69" t="s">
        <v>10</v>
      </c>
      <c r="G33" s="69" t="s">
        <v>11</v>
      </c>
      <c r="H33" s="71"/>
      <c r="I33" s="7"/>
      <c r="J33" s="7"/>
      <c r="K33" s="32"/>
    </row>
    <row r="34" spans="4:11">
      <c r="D34" s="24" t="s">
        <v>479</v>
      </c>
      <c r="E34" s="70">
        <f>+E42</f>
        <v>234567</v>
      </c>
      <c r="F34" s="69" t="s">
        <v>12</v>
      </c>
      <c r="G34" s="69" t="s">
        <v>13</v>
      </c>
      <c r="I34" s="7"/>
      <c r="J34" s="7"/>
      <c r="K34" s="68"/>
    </row>
    <row r="35" spans="4:11">
      <c r="D35" s="24" t="s">
        <v>480</v>
      </c>
      <c r="E35" s="70">
        <f>+M311</f>
        <v>234567</v>
      </c>
      <c r="F35" s="69" t="s">
        <v>14</v>
      </c>
      <c r="G35" s="69" t="s">
        <v>15</v>
      </c>
      <c r="H35" s="71"/>
      <c r="I35" s="7"/>
      <c r="J35" s="7"/>
      <c r="K35" s="7"/>
    </row>
    <row r="36" spans="4:11" ht="16" thickBot="1">
      <c r="D36" s="25" t="s">
        <v>481</v>
      </c>
      <c r="E36" s="72">
        <f>+E35/E33</f>
        <v>0.40442655935613681</v>
      </c>
      <c r="F36" s="69" t="s">
        <v>16</v>
      </c>
      <c r="G36" s="69" t="s">
        <v>17</v>
      </c>
      <c r="I36" s="7"/>
      <c r="J36" s="7"/>
      <c r="K36" s="68"/>
    </row>
    <row r="37" spans="4:11">
      <c r="D37" s="56"/>
      <c r="E37" s="56"/>
      <c r="F37" s="7"/>
      <c r="G37" s="56"/>
      <c r="I37" s="7"/>
      <c r="J37" s="7"/>
      <c r="K37" s="7"/>
    </row>
    <row r="38" spans="4:11" ht="16" thickBot="1">
      <c r="D38" s="56"/>
      <c r="E38" s="56"/>
      <c r="G38" s="56"/>
      <c r="I38" s="7"/>
      <c r="J38" s="7"/>
      <c r="K38" s="7"/>
    </row>
    <row r="39" spans="4:11" ht="16" thickBot="1">
      <c r="D39" s="311" t="s">
        <v>18</v>
      </c>
      <c r="E39" s="312"/>
      <c r="F39" s="33"/>
      <c r="G39" s="56"/>
      <c r="I39" s="7"/>
      <c r="J39" s="7"/>
      <c r="K39" s="7"/>
    </row>
    <row r="40" spans="4:11">
      <c r="D40" s="26" t="s">
        <v>20</v>
      </c>
      <c r="E40" s="29">
        <f>+M233</f>
        <v>345432</v>
      </c>
      <c r="F40" s="69" t="s">
        <v>19</v>
      </c>
      <c r="G40" s="69"/>
      <c r="K40" s="73"/>
    </row>
    <row r="41" spans="4:11">
      <c r="D41" s="27" t="s">
        <v>22</v>
      </c>
      <c r="E41" s="74" t="s">
        <v>140</v>
      </c>
      <c r="F41" s="69" t="s">
        <v>21</v>
      </c>
      <c r="G41" s="69"/>
      <c r="H41" s="56"/>
      <c r="I41" s="56"/>
      <c r="J41" s="56"/>
      <c r="K41" s="32"/>
    </row>
    <row r="42" spans="4:11">
      <c r="D42" s="27" t="s">
        <v>484</v>
      </c>
      <c r="E42" s="30">
        <f>+M235</f>
        <v>234567</v>
      </c>
      <c r="F42" s="69" t="s">
        <v>23</v>
      </c>
      <c r="G42" s="69" t="s">
        <v>512</v>
      </c>
    </row>
    <row r="43" spans="4:11">
      <c r="D43" s="27" t="s">
        <v>485</v>
      </c>
      <c r="E43" s="30">
        <f t="shared" ref="E43:E67" si="0">+M236</f>
        <v>0</v>
      </c>
      <c r="F43" s="69" t="s">
        <v>24</v>
      </c>
      <c r="G43" s="69" t="s">
        <v>510</v>
      </c>
      <c r="H43" s="71"/>
    </row>
    <row r="44" spans="4:11">
      <c r="D44" s="27" t="s">
        <v>486</v>
      </c>
      <c r="E44" s="30">
        <f t="shared" si="0"/>
        <v>0</v>
      </c>
      <c r="F44" s="69" t="s">
        <v>25</v>
      </c>
      <c r="G44" s="69" t="s">
        <v>511</v>
      </c>
      <c r="H44" s="71"/>
    </row>
    <row r="45" spans="4:11">
      <c r="D45" s="27" t="s">
        <v>487</v>
      </c>
      <c r="E45" s="30">
        <f t="shared" si="0"/>
        <v>0</v>
      </c>
      <c r="F45" s="69" t="s">
        <v>26</v>
      </c>
      <c r="G45" s="69" t="s">
        <v>513</v>
      </c>
    </row>
    <row r="46" spans="4:11">
      <c r="D46" s="27" t="s">
        <v>488</v>
      </c>
      <c r="E46" s="30">
        <f t="shared" si="0"/>
        <v>0</v>
      </c>
      <c r="F46" s="69" t="s">
        <v>27</v>
      </c>
      <c r="G46" s="69" t="s">
        <v>514</v>
      </c>
    </row>
    <row r="47" spans="4:11">
      <c r="D47" s="27" t="s">
        <v>489</v>
      </c>
      <c r="E47" s="30">
        <f t="shared" si="0"/>
        <v>0</v>
      </c>
      <c r="F47" s="69" t="s">
        <v>28</v>
      </c>
      <c r="G47" s="69" t="s">
        <v>515</v>
      </c>
    </row>
    <row r="48" spans="4:11">
      <c r="D48" s="27" t="s">
        <v>490</v>
      </c>
      <c r="E48" s="30">
        <f t="shared" si="0"/>
        <v>0</v>
      </c>
      <c r="F48" s="69" t="s">
        <v>29</v>
      </c>
      <c r="G48" s="69" t="s">
        <v>516</v>
      </c>
      <c r="H48" s="71"/>
    </row>
    <row r="49" spans="4:8">
      <c r="D49" s="27" t="s">
        <v>491</v>
      </c>
      <c r="E49" s="30">
        <f t="shared" si="0"/>
        <v>0</v>
      </c>
      <c r="F49" s="69" t="s">
        <v>30</v>
      </c>
      <c r="G49" s="69" t="s">
        <v>517</v>
      </c>
      <c r="H49" s="71"/>
    </row>
    <row r="50" spans="4:8">
      <c r="D50" s="27" t="s">
        <v>492</v>
      </c>
      <c r="E50" s="30">
        <f t="shared" si="0"/>
        <v>0</v>
      </c>
      <c r="F50" s="69" t="s">
        <v>31</v>
      </c>
      <c r="G50" s="69" t="s">
        <v>518</v>
      </c>
    </row>
    <row r="51" spans="4:8">
      <c r="D51" s="27" t="s">
        <v>493</v>
      </c>
      <c r="E51" s="30">
        <f t="shared" si="0"/>
        <v>0</v>
      </c>
      <c r="F51" s="69" t="s">
        <v>32</v>
      </c>
      <c r="G51" s="69" t="s">
        <v>519</v>
      </c>
    </row>
    <row r="52" spans="4:8">
      <c r="D52" s="27" t="s">
        <v>494</v>
      </c>
      <c r="E52" s="30">
        <f t="shared" si="0"/>
        <v>0</v>
      </c>
      <c r="F52" s="69" t="s">
        <v>33</v>
      </c>
      <c r="G52" s="69" t="s">
        <v>520</v>
      </c>
    </row>
    <row r="53" spans="4:8">
      <c r="D53" s="27" t="s">
        <v>496</v>
      </c>
      <c r="E53" s="30">
        <f t="shared" si="0"/>
        <v>0</v>
      </c>
      <c r="F53" s="69" t="s">
        <v>34</v>
      </c>
      <c r="G53" s="69" t="s">
        <v>521</v>
      </c>
      <c r="H53" s="71"/>
    </row>
    <row r="54" spans="4:8">
      <c r="D54" s="27" t="s">
        <v>495</v>
      </c>
      <c r="E54" s="30">
        <f t="shared" si="0"/>
        <v>0</v>
      </c>
      <c r="F54" s="69" t="s">
        <v>35</v>
      </c>
      <c r="G54" s="69" t="s">
        <v>522</v>
      </c>
      <c r="H54" s="71"/>
    </row>
    <row r="55" spans="4:8">
      <c r="D55" s="27" t="s">
        <v>497</v>
      </c>
      <c r="E55" s="30">
        <f t="shared" si="0"/>
        <v>0</v>
      </c>
      <c r="F55" s="69" t="s">
        <v>36</v>
      </c>
      <c r="G55" s="69" t="s">
        <v>523</v>
      </c>
    </row>
    <row r="56" spans="4:8">
      <c r="D56" s="27" t="s">
        <v>498</v>
      </c>
      <c r="E56" s="30">
        <f t="shared" si="0"/>
        <v>0</v>
      </c>
      <c r="F56" s="69" t="s">
        <v>37</v>
      </c>
      <c r="G56" s="69" t="s">
        <v>524</v>
      </c>
    </row>
    <row r="57" spans="4:8">
      <c r="D57" s="27" t="s">
        <v>499</v>
      </c>
      <c r="E57" s="30">
        <f t="shared" si="0"/>
        <v>0</v>
      </c>
      <c r="F57" s="69" t="s">
        <v>38</v>
      </c>
      <c r="G57" s="69" t="s">
        <v>525</v>
      </c>
    </row>
    <row r="58" spans="4:8">
      <c r="D58" s="27" t="s">
        <v>500</v>
      </c>
      <c r="E58" s="30">
        <f t="shared" si="0"/>
        <v>0</v>
      </c>
      <c r="F58" s="69" t="s">
        <v>39</v>
      </c>
      <c r="G58" s="69" t="s">
        <v>526</v>
      </c>
    </row>
    <row r="59" spans="4:8">
      <c r="D59" s="27" t="s">
        <v>501</v>
      </c>
      <c r="E59" s="30">
        <f t="shared" si="0"/>
        <v>0</v>
      </c>
      <c r="F59" s="69" t="s">
        <v>40</v>
      </c>
      <c r="G59" s="69" t="s">
        <v>527</v>
      </c>
    </row>
    <row r="60" spans="4:8">
      <c r="D60" s="27" t="s">
        <v>502</v>
      </c>
      <c r="E60" s="30">
        <f t="shared" si="0"/>
        <v>0</v>
      </c>
      <c r="F60" s="69" t="s">
        <v>41</v>
      </c>
      <c r="G60" s="69" t="s">
        <v>528</v>
      </c>
    </row>
    <row r="61" spans="4:8" ht="31">
      <c r="D61" s="27" t="s">
        <v>503</v>
      </c>
      <c r="E61" s="30">
        <f t="shared" si="0"/>
        <v>0</v>
      </c>
      <c r="F61" s="69" t="s">
        <v>42</v>
      </c>
      <c r="G61" s="69" t="s">
        <v>529</v>
      </c>
    </row>
    <row r="62" spans="4:8">
      <c r="D62" s="27" t="s">
        <v>504</v>
      </c>
      <c r="E62" s="30">
        <f t="shared" si="0"/>
        <v>0</v>
      </c>
      <c r="F62" s="69" t="s">
        <v>43</v>
      </c>
      <c r="G62" s="69" t="s">
        <v>530</v>
      </c>
    </row>
    <row r="63" spans="4:8">
      <c r="D63" s="27" t="s">
        <v>505</v>
      </c>
      <c r="E63" s="30">
        <f t="shared" si="0"/>
        <v>0</v>
      </c>
      <c r="F63" s="69" t="s">
        <v>44</v>
      </c>
      <c r="G63" s="69" t="s">
        <v>531</v>
      </c>
    </row>
    <row r="64" spans="4:8">
      <c r="D64" s="27" t="s">
        <v>506</v>
      </c>
      <c r="E64" s="30">
        <f t="shared" si="0"/>
        <v>0</v>
      </c>
      <c r="F64" s="69" t="s">
        <v>45</v>
      </c>
      <c r="G64" s="69" t="s">
        <v>532</v>
      </c>
    </row>
    <row r="65" spans="4:18">
      <c r="D65" s="27" t="s">
        <v>507</v>
      </c>
      <c r="E65" s="30">
        <f t="shared" si="0"/>
        <v>0</v>
      </c>
      <c r="F65" s="69" t="s">
        <v>46</v>
      </c>
      <c r="G65" s="69" t="s">
        <v>533</v>
      </c>
    </row>
    <row r="66" spans="4:18">
      <c r="D66" s="27" t="s">
        <v>508</v>
      </c>
      <c r="E66" s="30">
        <f t="shared" si="0"/>
        <v>0</v>
      </c>
      <c r="F66" s="69" t="s">
        <v>47</v>
      </c>
      <c r="G66" s="69" t="s">
        <v>534</v>
      </c>
    </row>
    <row r="67" spans="4:18">
      <c r="D67" s="27" t="s">
        <v>509</v>
      </c>
      <c r="E67" s="30">
        <f t="shared" si="0"/>
        <v>0</v>
      </c>
      <c r="F67" s="69" t="s">
        <v>48</v>
      </c>
      <c r="G67" s="69" t="s">
        <v>535</v>
      </c>
      <c r="H67" s="71"/>
    </row>
    <row r="68" spans="4:18" ht="16" thickBot="1">
      <c r="D68" s="31" t="s">
        <v>50</v>
      </c>
      <c r="E68" s="75">
        <f>+M261</f>
        <v>579999</v>
      </c>
      <c r="F68" s="69" t="s">
        <v>10</v>
      </c>
      <c r="G68" s="69" t="s">
        <v>49</v>
      </c>
    </row>
    <row r="69" spans="4:18" ht="15.75" customHeight="1">
      <c r="G69" s="56"/>
    </row>
    <row r="70" spans="4:18" ht="15" customHeight="1" thickBot="1">
      <c r="G70" s="56"/>
    </row>
    <row r="71" spans="4:18" ht="14.25" customHeight="1" thickBot="1">
      <c r="D71" s="311" t="s">
        <v>51</v>
      </c>
      <c r="E71" s="312"/>
      <c r="G71" s="56"/>
    </row>
    <row r="72" spans="4:18">
      <c r="D72" s="311" t="s">
        <v>52</v>
      </c>
      <c r="E72" s="312"/>
      <c r="F72" s="69"/>
      <c r="G72" s="69"/>
      <c r="H72" s="69"/>
    </row>
    <row r="73" spans="4:18">
      <c r="D73" s="37" t="s">
        <v>55</v>
      </c>
      <c r="E73" s="38">
        <f>+M292</f>
        <v>234567</v>
      </c>
      <c r="F73" s="69" t="s">
        <v>53</v>
      </c>
      <c r="G73" s="69" t="s">
        <v>54</v>
      </c>
      <c r="H73" s="69"/>
      <c r="I73" s="7"/>
      <c r="K73" s="32"/>
    </row>
    <row r="74" spans="4:18">
      <c r="D74" s="37" t="s">
        <v>22</v>
      </c>
      <c r="E74" s="76" t="s">
        <v>140</v>
      </c>
      <c r="F74" s="69" t="s">
        <v>21</v>
      </c>
      <c r="G74" s="69"/>
      <c r="H74" s="69"/>
      <c r="I74" s="7"/>
      <c r="K74" s="32"/>
    </row>
    <row r="75" spans="4:18">
      <c r="D75" s="20" t="s">
        <v>539</v>
      </c>
      <c r="E75" s="30">
        <f>+M294</f>
        <v>0</v>
      </c>
      <c r="F75" s="69" t="s">
        <v>57</v>
      </c>
      <c r="G75" s="69" t="s">
        <v>56</v>
      </c>
      <c r="H75" s="69" t="s">
        <v>557</v>
      </c>
      <c r="I75" s="7"/>
    </row>
    <row r="76" spans="4:18" ht="69.5" customHeight="1">
      <c r="D76" s="20" t="s">
        <v>540</v>
      </c>
      <c r="E76" s="40">
        <v>0</v>
      </c>
      <c r="F76" s="69"/>
      <c r="G76" s="69" t="s">
        <v>58</v>
      </c>
      <c r="H76" s="69" t="s">
        <v>558</v>
      </c>
      <c r="I76" s="292" t="s">
        <v>59</v>
      </c>
      <c r="J76" s="292"/>
      <c r="K76" s="292"/>
      <c r="L76" s="292"/>
      <c r="M76" s="292"/>
      <c r="N76" s="292"/>
      <c r="O76" s="292"/>
      <c r="P76" s="292"/>
      <c r="Q76" s="292"/>
      <c r="R76" s="292"/>
    </row>
    <row r="77" spans="4:18">
      <c r="D77" s="20" t="s">
        <v>541</v>
      </c>
      <c r="E77" s="30">
        <f>+M295</f>
        <v>0</v>
      </c>
      <c r="F77" s="69" t="s">
        <v>61</v>
      </c>
      <c r="G77" s="69" t="s">
        <v>60</v>
      </c>
      <c r="H77" s="69" t="s">
        <v>559</v>
      </c>
    </row>
    <row r="78" spans="4:18" ht="31">
      <c r="D78" s="20" t="s">
        <v>542</v>
      </c>
      <c r="E78" s="30">
        <f t="shared" ref="E78:E91" si="1">+M296</f>
        <v>0</v>
      </c>
      <c r="F78" s="69" t="s">
        <v>63</v>
      </c>
      <c r="G78" s="69" t="s">
        <v>62</v>
      </c>
      <c r="H78" s="69" t="s">
        <v>64</v>
      </c>
      <c r="I78" s="7"/>
    </row>
    <row r="79" spans="4:18">
      <c r="D79" s="20" t="s">
        <v>572</v>
      </c>
      <c r="E79" s="30">
        <f t="shared" si="1"/>
        <v>0</v>
      </c>
      <c r="F79" s="69" t="s">
        <v>66</v>
      </c>
      <c r="G79" s="69" t="s">
        <v>65</v>
      </c>
      <c r="H79" s="69" t="s">
        <v>560</v>
      </c>
      <c r="I79" s="7"/>
    </row>
    <row r="80" spans="4:18">
      <c r="D80" s="20" t="s">
        <v>543</v>
      </c>
      <c r="E80" s="30">
        <f t="shared" si="1"/>
        <v>0</v>
      </c>
      <c r="F80" s="69" t="s">
        <v>68</v>
      </c>
      <c r="G80" s="69" t="s">
        <v>67</v>
      </c>
      <c r="H80" s="69" t="s">
        <v>561</v>
      </c>
      <c r="I80" s="7"/>
    </row>
    <row r="81" spans="4:13" ht="31">
      <c r="D81" s="20" t="s">
        <v>545</v>
      </c>
      <c r="E81" s="30">
        <f t="shared" si="1"/>
        <v>0</v>
      </c>
      <c r="F81" s="69" t="s">
        <v>70</v>
      </c>
      <c r="G81" s="69" t="s">
        <v>69</v>
      </c>
      <c r="H81" s="69" t="s">
        <v>71</v>
      </c>
      <c r="I81" s="7"/>
    </row>
    <row r="82" spans="4:13" ht="31">
      <c r="D82" s="20" t="s">
        <v>546</v>
      </c>
      <c r="E82" s="30">
        <f t="shared" si="1"/>
        <v>0</v>
      </c>
      <c r="F82" s="69" t="s">
        <v>73</v>
      </c>
      <c r="G82" s="69" t="s">
        <v>72</v>
      </c>
      <c r="H82" s="69" t="s">
        <v>74</v>
      </c>
      <c r="I82" s="7"/>
    </row>
    <row r="83" spans="4:13">
      <c r="D83" s="20" t="s">
        <v>544</v>
      </c>
      <c r="E83" s="30">
        <f t="shared" si="1"/>
        <v>0</v>
      </c>
      <c r="F83" s="69" t="s">
        <v>76</v>
      </c>
      <c r="G83" s="69" t="s">
        <v>75</v>
      </c>
      <c r="H83" s="69" t="s">
        <v>562</v>
      </c>
      <c r="I83" s="7"/>
    </row>
    <row r="84" spans="4:13">
      <c r="D84" s="20" t="s">
        <v>547</v>
      </c>
      <c r="E84" s="30">
        <f t="shared" si="1"/>
        <v>0</v>
      </c>
      <c r="F84" s="69" t="s">
        <v>78</v>
      </c>
      <c r="G84" s="69" t="s">
        <v>77</v>
      </c>
      <c r="H84" s="69" t="s">
        <v>563</v>
      </c>
      <c r="I84" s="7"/>
    </row>
    <row r="85" spans="4:13">
      <c r="D85" s="20" t="s">
        <v>548</v>
      </c>
      <c r="E85" s="30">
        <f t="shared" si="1"/>
        <v>0</v>
      </c>
      <c r="F85" s="69" t="s">
        <v>80</v>
      </c>
      <c r="G85" s="69" t="s">
        <v>79</v>
      </c>
      <c r="H85" s="69" t="s">
        <v>564</v>
      </c>
      <c r="I85" s="7"/>
    </row>
    <row r="86" spans="4:13">
      <c r="D86" s="20" t="s">
        <v>550</v>
      </c>
      <c r="E86" s="30">
        <f t="shared" si="1"/>
        <v>0</v>
      </c>
      <c r="F86" s="69" t="s">
        <v>82</v>
      </c>
      <c r="G86" s="69" t="s">
        <v>81</v>
      </c>
      <c r="H86" s="69" t="s">
        <v>565</v>
      </c>
      <c r="I86" s="7"/>
    </row>
    <row r="87" spans="4:13">
      <c r="D87" s="20" t="s">
        <v>551</v>
      </c>
      <c r="E87" s="30">
        <f t="shared" si="1"/>
        <v>0</v>
      </c>
      <c r="F87" s="69" t="s">
        <v>84</v>
      </c>
      <c r="G87" s="69" t="s">
        <v>83</v>
      </c>
      <c r="H87" s="69" t="s">
        <v>566</v>
      </c>
      <c r="I87" s="7"/>
    </row>
    <row r="88" spans="4:13">
      <c r="D88" s="20" t="s">
        <v>549</v>
      </c>
      <c r="E88" s="30">
        <f t="shared" si="1"/>
        <v>0</v>
      </c>
      <c r="F88" s="69" t="s">
        <v>86</v>
      </c>
      <c r="G88" s="69" t="s">
        <v>85</v>
      </c>
      <c r="H88" s="69" t="s">
        <v>567</v>
      </c>
      <c r="I88" s="7"/>
    </row>
    <row r="89" spans="4:13">
      <c r="D89" s="20" t="s">
        <v>573</v>
      </c>
      <c r="E89" s="30">
        <f t="shared" si="1"/>
        <v>0</v>
      </c>
      <c r="F89" s="69" t="s">
        <v>88</v>
      </c>
      <c r="G89" s="69" t="s">
        <v>87</v>
      </c>
      <c r="H89" s="69" t="s">
        <v>568</v>
      </c>
      <c r="I89" s="7"/>
    </row>
    <row r="90" spans="4:13">
      <c r="D90" s="20" t="s">
        <v>552</v>
      </c>
      <c r="E90" s="30">
        <f t="shared" si="1"/>
        <v>0</v>
      </c>
      <c r="F90" s="69" t="s">
        <v>90</v>
      </c>
      <c r="G90" s="69" t="s">
        <v>89</v>
      </c>
      <c r="H90" s="69" t="s">
        <v>569</v>
      </c>
      <c r="I90" s="7"/>
    </row>
    <row r="91" spans="4:13">
      <c r="D91" s="20" t="s">
        <v>553</v>
      </c>
      <c r="E91" s="30">
        <f t="shared" si="1"/>
        <v>0</v>
      </c>
      <c r="F91" s="69" t="s">
        <v>92</v>
      </c>
      <c r="G91" s="69" t="s">
        <v>91</v>
      </c>
      <c r="H91" s="69" t="s">
        <v>570</v>
      </c>
      <c r="I91" s="7"/>
    </row>
    <row r="92" spans="4:13" ht="31">
      <c r="D92" s="20" t="s">
        <v>554</v>
      </c>
      <c r="E92" s="30">
        <f>+M310</f>
        <v>0</v>
      </c>
      <c r="F92" s="69" t="s">
        <v>91</v>
      </c>
      <c r="G92" s="69" t="s">
        <v>93</v>
      </c>
      <c r="H92" s="69" t="s">
        <v>571</v>
      </c>
      <c r="I92" s="7"/>
    </row>
    <row r="93" spans="4:13">
      <c r="D93" s="20" t="s">
        <v>555</v>
      </c>
      <c r="E93" s="30">
        <f>+E102</f>
        <v>0</v>
      </c>
      <c r="F93" s="69" t="s">
        <v>95</v>
      </c>
      <c r="G93" s="69" t="s">
        <v>94</v>
      </c>
      <c r="H93" s="69" t="s">
        <v>96</v>
      </c>
      <c r="I93" s="7"/>
    </row>
    <row r="94" spans="4:13" ht="31">
      <c r="D94" s="20" t="s">
        <v>556</v>
      </c>
      <c r="E94" s="30">
        <f>+E101</f>
        <v>0</v>
      </c>
      <c r="F94" s="69" t="s">
        <v>98</v>
      </c>
      <c r="G94" s="69" t="s">
        <v>97</v>
      </c>
      <c r="H94" s="69" t="s">
        <v>99</v>
      </c>
      <c r="I94" s="7"/>
    </row>
    <row r="95" spans="4:13" ht="16" thickBot="1">
      <c r="D95" s="39" t="s">
        <v>100</v>
      </c>
      <c r="E95" s="77">
        <f>E73+SUM(E75:E94)</f>
        <v>234567</v>
      </c>
      <c r="F95" s="69"/>
      <c r="G95" s="69" t="s">
        <v>14</v>
      </c>
      <c r="H95" s="69"/>
      <c r="I95" s="7"/>
      <c r="K95" s="78"/>
      <c r="L95" s="68"/>
      <c r="M95" s="32"/>
    </row>
    <row r="96" spans="4:13">
      <c r="D96" s="15"/>
      <c r="E96" s="79"/>
      <c r="F96" s="7"/>
      <c r="G96" s="56"/>
      <c r="H96" s="7"/>
      <c r="I96" s="7"/>
    </row>
    <row r="97" spans="4:11" ht="16" thickBot="1">
      <c r="D97" s="15"/>
      <c r="E97" s="79"/>
      <c r="F97" s="7"/>
      <c r="G97" s="56"/>
      <c r="H97" s="7"/>
      <c r="I97" s="7"/>
    </row>
    <row r="98" spans="4:11">
      <c r="D98" s="311" t="s">
        <v>574</v>
      </c>
      <c r="E98" s="312" t="s">
        <v>102</v>
      </c>
      <c r="F98" s="69" t="s">
        <v>101</v>
      </c>
      <c r="G98" s="69"/>
      <c r="H98" s="355" t="s">
        <v>103</v>
      </c>
      <c r="I98" s="355"/>
      <c r="J98" s="355"/>
      <c r="K98" s="355"/>
    </row>
    <row r="99" spans="4:11" ht="24.75" customHeight="1">
      <c r="D99" s="43" t="s">
        <v>575</v>
      </c>
      <c r="E99" s="41">
        <v>0</v>
      </c>
      <c r="F99" s="69" t="s">
        <v>104</v>
      </c>
      <c r="G99" s="69" t="s">
        <v>105</v>
      </c>
      <c r="H99" s="355"/>
      <c r="I99" s="355"/>
      <c r="J99" s="355"/>
      <c r="K99" s="355"/>
    </row>
    <row r="100" spans="4:11" ht="27" customHeight="1">
      <c r="D100" s="43" t="s">
        <v>576</v>
      </c>
      <c r="E100" s="41">
        <v>0</v>
      </c>
      <c r="F100" s="69" t="s">
        <v>95</v>
      </c>
      <c r="G100" s="69" t="s">
        <v>106</v>
      </c>
      <c r="H100" s="355"/>
      <c r="I100" s="355"/>
      <c r="J100" s="355"/>
      <c r="K100" s="355"/>
    </row>
    <row r="101" spans="4:11" ht="24.75" customHeight="1">
      <c r="D101" s="43" t="s">
        <v>577</v>
      </c>
      <c r="E101" s="41">
        <v>0</v>
      </c>
      <c r="F101" s="69" t="s">
        <v>98</v>
      </c>
      <c r="G101" s="69" t="s">
        <v>107</v>
      </c>
      <c r="H101" s="355"/>
      <c r="I101" s="355"/>
      <c r="J101" s="355"/>
      <c r="K101" s="355"/>
    </row>
    <row r="102" spans="4:11" ht="19.5" customHeight="1" thickBot="1">
      <c r="D102" s="44" t="s">
        <v>578</v>
      </c>
      <c r="E102" s="124">
        <f>+E99+E100+E101</f>
        <v>0</v>
      </c>
      <c r="F102" s="69" t="s">
        <v>108</v>
      </c>
      <c r="G102" s="69" t="s">
        <v>109</v>
      </c>
      <c r="H102" s="355"/>
      <c r="I102" s="355"/>
      <c r="J102" s="355"/>
      <c r="K102" s="355"/>
    </row>
    <row r="103" spans="4:11" ht="12.75" customHeight="1">
      <c r="D103" s="5"/>
      <c r="E103" s="6"/>
      <c r="F103" s="7"/>
      <c r="G103" s="7"/>
      <c r="H103" s="7"/>
      <c r="I103" s="7"/>
    </row>
    <row r="104" spans="4:11" ht="12.75" customHeight="1" thickBot="1">
      <c r="D104" s="5"/>
      <c r="E104" s="6"/>
      <c r="F104" s="5"/>
      <c r="G104" s="7"/>
      <c r="H104" s="7"/>
      <c r="I104" s="7"/>
    </row>
    <row r="105" spans="4:11">
      <c r="D105" s="320" t="s">
        <v>579</v>
      </c>
      <c r="E105" s="321"/>
      <c r="F105" s="322"/>
      <c r="G105" s="7"/>
      <c r="H105" s="7"/>
      <c r="I105" s="7"/>
    </row>
    <row r="106" spans="4:11" ht="49.5" customHeight="1">
      <c r="D106" s="24" t="s">
        <v>111</v>
      </c>
      <c r="E106" s="1" t="s">
        <v>112</v>
      </c>
      <c r="F106" s="46" t="s">
        <v>113</v>
      </c>
      <c r="G106" s="299" t="s">
        <v>110</v>
      </c>
      <c r="H106" s="7"/>
      <c r="I106" s="7"/>
    </row>
    <row r="107" spans="4:11" ht="12.75" customHeight="1">
      <c r="D107" s="121" t="s">
        <v>646</v>
      </c>
      <c r="E107" s="122" t="s">
        <v>647</v>
      </c>
      <c r="F107" s="123">
        <v>0</v>
      </c>
      <c r="G107" s="299"/>
      <c r="H107" s="7"/>
      <c r="I107" s="7"/>
    </row>
    <row r="108" spans="4:11" ht="12.75" customHeight="1">
      <c r="D108" s="121" t="s">
        <v>646</v>
      </c>
      <c r="E108" s="122" t="s">
        <v>647</v>
      </c>
      <c r="F108" s="123">
        <v>0</v>
      </c>
      <c r="G108" s="299"/>
      <c r="H108" s="7"/>
      <c r="I108" s="7"/>
    </row>
    <row r="109" spans="4:11" ht="12.75" customHeight="1" thickBot="1">
      <c r="D109" s="323" t="s">
        <v>114</v>
      </c>
      <c r="E109" s="324"/>
      <c r="F109" s="47">
        <f>+F107+F108</f>
        <v>0</v>
      </c>
      <c r="G109" s="299"/>
      <c r="H109" s="7"/>
      <c r="I109" s="7"/>
    </row>
    <row r="110" spans="4:11">
      <c r="D110" s="7"/>
      <c r="E110" s="7"/>
      <c r="F110" s="7"/>
      <c r="G110" s="7"/>
      <c r="H110" s="7"/>
      <c r="I110" s="7"/>
    </row>
    <row r="111" spans="4:11" ht="16" thickBot="1">
      <c r="D111" s="7"/>
      <c r="E111" s="7"/>
      <c r="F111" s="7"/>
      <c r="G111" s="7"/>
      <c r="H111" s="7"/>
      <c r="I111" s="7"/>
    </row>
    <row r="112" spans="4:11" ht="20.5" thickBot="1">
      <c r="D112" s="309" t="s">
        <v>115</v>
      </c>
      <c r="E112" s="310" t="s">
        <v>1</v>
      </c>
      <c r="F112" s="2"/>
      <c r="G112" s="2"/>
      <c r="H112" s="16"/>
      <c r="I112" s="7"/>
      <c r="K112" s="17"/>
    </row>
    <row r="113" spans="4:12" ht="16" thickBot="1">
      <c r="D113" s="311" t="s">
        <v>580</v>
      </c>
      <c r="E113" s="312"/>
      <c r="F113" s="33"/>
      <c r="G113" s="33"/>
      <c r="H113" s="7"/>
      <c r="I113" s="7"/>
    </row>
    <row r="114" spans="4:12" ht="16" thickBot="1">
      <c r="D114" s="296" t="s">
        <v>116</v>
      </c>
      <c r="E114" s="297"/>
      <c r="F114" s="298"/>
      <c r="G114" s="2"/>
      <c r="H114" s="7"/>
      <c r="I114" s="7"/>
    </row>
    <row r="115" spans="4:12">
      <c r="D115" s="49" t="s">
        <v>582</v>
      </c>
      <c r="E115" s="356" t="s">
        <v>581</v>
      </c>
      <c r="F115" s="54">
        <f>+M325</f>
        <v>2343</v>
      </c>
      <c r="G115" s="69" t="s">
        <v>117</v>
      </c>
      <c r="H115" s="69" t="s">
        <v>119</v>
      </c>
      <c r="I115" s="7"/>
    </row>
    <row r="116" spans="4:12" ht="31">
      <c r="D116" s="20" t="s">
        <v>583</v>
      </c>
      <c r="E116" s="357"/>
      <c r="F116" s="41">
        <v>0</v>
      </c>
      <c r="G116" s="69" t="s">
        <v>120</v>
      </c>
      <c r="H116" s="69" t="s">
        <v>121</v>
      </c>
      <c r="I116" s="7"/>
    </row>
    <row r="117" spans="4:12">
      <c r="D117" s="20" t="s">
        <v>584</v>
      </c>
      <c r="E117" s="357"/>
      <c r="F117" s="41">
        <v>0</v>
      </c>
      <c r="G117" s="69" t="s">
        <v>122</v>
      </c>
      <c r="H117" s="69" t="s">
        <v>123</v>
      </c>
      <c r="I117" s="7"/>
    </row>
    <row r="118" spans="4:12" ht="16" thickBot="1">
      <c r="D118" s="22" t="s">
        <v>585</v>
      </c>
      <c r="E118" s="358"/>
      <c r="F118" s="53">
        <f>F115-F116+F117</f>
        <v>2343</v>
      </c>
      <c r="G118" s="69" t="s">
        <v>124</v>
      </c>
      <c r="H118" s="69" t="s">
        <v>125</v>
      </c>
      <c r="I118" s="7"/>
    </row>
    <row r="119" spans="4:12" ht="16" thickBot="1">
      <c r="D119" s="313" t="s">
        <v>586</v>
      </c>
      <c r="E119" s="314"/>
      <c r="F119" s="80">
        <f>+E144</f>
        <v>0</v>
      </c>
      <c r="G119" s="69" t="s">
        <v>126</v>
      </c>
      <c r="H119" s="69" t="s">
        <v>127</v>
      </c>
      <c r="I119" s="7"/>
    </row>
    <row r="120" spans="4:12">
      <c r="D120" s="50" t="s">
        <v>587</v>
      </c>
      <c r="E120" s="317" t="s">
        <v>591</v>
      </c>
      <c r="F120" s="54">
        <f>+F119+F118</f>
        <v>2343</v>
      </c>
      <c r="G120" s="69" t="s">
        <v>128</v>
      </c>
      <c r="H120" s="69" t="s">
        <v>129</v>
      </c>
      <c r="I120" s="7"/>
    </row>
    <row r="121" spans="4:12">
      <c r="D121" s="20" t="s">
        <v>588</v>
      </c>
      <c r="E121" s="318"/>
      <c r="F121" s="52">
        <f>+M344</f>
        <v>0</v>
      </c>
      <c r="G121" s="69" t="s">
        <v>130</v>
      </c>
      <c r="H121" s="69" t="s">
        <v>131</v>
      </c>
      <c r="I121" s="7"/>
      <c r="K121" s="34"/>
    </row>
    <row r="122" spans="4:12" ht="31.5" thickBot="1">
      <c r="D122" s="22" t="s">
        <v>589</v>
      </c>
      <c r="E122" s="319"/>
      <c r="F122" s="52">
        <f>+M345</f>
        <v>0</v>
      </c>
      <c r="G122" s="69" t="s">
        <v>132</v>
      </c>
      <c r="H122" s="69" t="s">
        <v>133</v>
      </c>
      <c r="I122" s="7"/>
      <c r="K122" s="34"/>
    </row>
    <row r="123" spans="4:12" ht="16" thickBot="1">
      <c r="D123" s="315" t="s">
        <v>590</v>
      </c>
      <c r="E123" s="316"/>
      <c r="F123" s="81">
        <f>+F120+F121-F122</f>
        <v>2343</v>
      </c>
      <c r="G123" s="69" t="s">
        <v>134</v>
      </c>
      <c r="H123" s="69" t="s">
        <v>135</v>
      </c>
      <c r="I123" s="7"/>
      <c r="K123" s="82"/>
      <c r="L123" s="83"/>
    </row>
    <row r="124" spans="4:12">
      <c r="D124" s="2"/>
      <c r="E124" s="2"/>
      <c r="F124" s="2"/>
      <c r="G124" s="2"/>
      <c r="H124" s="7"/>
      <c r="I124" s="7"/>
      <c r="K124" s="84"/>
      <c r="L124" s="84"/>
    </row>
    <row r="125" spans="4:12" ht="16" thickBot="1">
      <c r="D125" s="2"/>
      <c r="E125" s="2"/>
      <c r="F125" s="2"/>
      <c r="G125" s="2"/>
      <c r="H125" s="7"/>
      <c r="I125" s="7"/>
    </row>
    <row r="126" spans="4:12">
      <c r="D126" s="311" t="s">
        <v>136</v>
      </c>
      <c r="E126" s="312"/>
      <c r="F126" s="2"/>
      <c r="G126" s="2"/>
      <c r="H126" s="56"/>
      <c r="I126" s="56"/>
    </row>
    <row r="127" spans="4:12">
      <c r="D127" s="55" t="s">
        <v>139</v>
      </c>
      <c r="E127" s="76" t="s">
        <v>140</v>
      </c>
      <c r="F127" s="69" t="s">
        <v>137</v>
      </c>
      <c r="G127" s="69" t="s">
        <v>138</v>
      </c>
      <c r="H127" s="56"/>
      <c r="I127" s="56"/>
    </row>
    <row r="128" spans="4:12">
      <c r="D128" s="55" t="s">
        <v>592</v>
      </c>
      <c r="E128" s="28">
        <f>+M327</f>
        <v>0</v>
      </c>
      <c r="F128" s="69" t="s">
        <v>141</v>
      </c>
      <c r="G128" s="69" t="s">
        <v>609</v>
      </c>
      <c r="H128" s="71"/>
    </row>
    <row r="129" spans="4:14">
      <c r="D129" s="55" t="s">
        <v>604</v>
      </c>
      <c r="E129" s="28">
        <f t="shared" ref="E129:E143" si="2">+M328</f>
        <v>0</v>
      </c>
      <c r="F129" s="69" t="s">
        <v>142</v>
      </c>
      <c r="G129" s="69" t="s">
        <v>610</v>
      </c>
      <c r="H129" s="71"/>
      <c r="I129" s="9"/>
    </row>
    <row r="130" spans="4:14">
      <c r="D130" s="55" t="s">
        <v>605</v>
      </c>
      <c r="E130" s="28">
        <f t="shared" si="2"/>
        <v>0</v>
      </c>
      <c r="F130" s="69" t="s">
        <v>143</v>
      </c>
      <c r="G130" s="69" t="s">
        <v>611</v>
      </c>
      <c r="H130" s="71"/>
      <c r="I130" s="85"/>
      <c r="J130" s="85"/>
    </row>
    <row r="131" spans="4:14">
      <c r="D131" s="55" t="s">
        <v>593</v>
      </c>
      <c r="E131" s="28">
        <f t="shared" si="2"/>
        <v>0</v>
      </c>
      <c r="F131" s="69" t="s">
        <v>144</v>
      </c>
      <c r="G131" s="69" t="s">
        <v>612</v>
      </c>
      <c r="H131" s="56"/>
      <c r="I131" s="56"/>
      <c r="J131" s="56"/>
      <c r="K131" s="56"/>
      <c r="L131" s="56"/>
      <c r="M131" s="56"/>
      <c r="N131" s="56"/>
    </row>
    <row r="132" spans="4:14">
      <c r="D132" s="55" t="s">
        <v>594</v>
      </c>
      <c r="E132" s="28">
        <f t="shared" si="2"/>
        <v>0</v>
      </c>
      <c r="F132" s="69" t="s">
        <v>145</v>
      </c>
      <c r="G132" s="69" t="s">
        <v>613</v>
      </c>
      <c r="H132" s="86"/>
      <c r="I132" s="56"/>
      <c r="J132" s="56"/>
      <c r="K132" s="56"/>
      <c r="L132" s="56"/>
      <c r="M132" s="56"/>
      <c r="N132" s="56"/>
    </row>
    <row r="133" spans="4:14">
      <c r="D133" s="55" t="s">
        <v>595</v>
      </c>
      <c r="E133" s="28">
        <f t="shared" si="2"/>
        <v>0</v>
      </c>
      <c r="F133" s="69" t="s">
        <v>146</v>
      </c>
      <c r="G133" s="69" t="s">
        <v>147</v>
      </c>
      <c r="H133" s="56"/>
      <c r="I133" s="56"/>
      <c r="J133" s="56"/>
      <c r="K133" s="56"/>
      <c r="L133" s="56"/>
      <c r="M133" s="56"/>
      <c r="N133" s="56"/>
    </row>
    <row r="134" spans="4:14">
      <c r="D134" s="55" t="s">
        <v>596</v>
      </c>
      <c r="E134" s="28">
        <f t="shared" si="2"/>
        <v>0</v>
      </c>
      <c r="F134" s="69" t="s">
        <v>148</v>
      </c>
      <c r="G134" s="69" t="s">
        <v>149</v>
      </c>
      <c r="H134" s="56"/>
      <c r="I134" s="56"/>
      <c r="J134" s="56"/>
      <c r="K134" s="56"/>
      <c r="L134" s="56"/>
      <c r="M134" s="56"/>
      <c r="N134" s="56"/>
    </row>
    <row r="135" spans="4:14">
      <c r="D135" s="55" t="s">
        <v>597</v>
      </c>
      <c r="E135" s="28">
        <f t="shared" si="2"/>
        <v>0</v>
      </c>
      <c r="F135" s="69" t="s">
        <v>150</v>
      </c>
      <c r="G135" s="69" t="s">
        <v>615</v>
      </c>
      <c r="H135" s="56"/>
      <c r="I135" s="56"/>
      <c r="J135" s="56"/>
      <c r="K135" s="56"/>
      <c r="L135" s="56"/>
      <c r="M135" s="56"/>
      <c r="N135" s="56"/>
    </row>
    <row r="136" spans="4:14">
      <c r="D136" s="55" t="s">
        <v>598</v>
      </c>
      <c r="E136" s="28">
        <f t="shared" si="2"/>
        <v>0</v>
      </c>
      <c r="F136" s="69" t="s">
        <v>151</v>
      </c>
      <c r="G136" s="69" t="s">
        <v>616</v>
      </c>
      <c r="H136" s="87"/>
      <c r="I136" s="56"/>
      <c r="J136" s="56"/>
      <c r="K136" s="56"/>
      <c r="L136" s="7"/>
      <c r="M136" s="7"/>
      <c r="N136" s="7"/>
    </row>
    <row r="137" spans="4:14">
      <c r="D137" s="55" t="s">
        <v>599</v>
      </c>
      <c r="E137" s="28">
        <f t="shared" si="2"/>
        <v>0</v>
      </c>
      <c r="F137" s="69" t="s">
        <v>152</v>
      </c>
      <c r="G137" s="69" t="s">
        <v>617</v>
      </c>
      <c r="H137" s="56"/>
      <c r="I137" s="56"/>
      <c r="J137" s="56"/>
      <c r="K137" s="56"/>
      <c r="L137" s="7"/>
      <c r="M137" s="7"/>
      <c r="N137" s="7"/>
    </row>
    <row r="138" spans="4:14">
      <c r="D138" s="55" t="s">
        <v>606</v>
      </c>
      <c r="E138" s="28">
        <f t="shared" si="2"/>
        <v>0</v>
      </c>
      <c r="F138" s="69" t="s">
        <v>153</v>
      </c>
      <c r="G138" s="69" t="s">
        <v>618</v>
      </c>
      <c r="H138" s="35"/>
      <c r="I138" s="88"/>
      <c r="J138" s="7"/>
      <c r="K138" s="7"/>
      <c r="L138" s="7"/>
      <c r="M138" s="7"/>
      <c r="N138" s="7"/>
    </row>
    <row r="139" spans="4:14">
      <c r="D139" s="55" t="s">
        <v>607</v>
      </c>
      <c r="E139" s="28">
        <f t="shared" si="2"/>
        <v>0</v>
      </c>
      <c r="F139" s="69" t="s">
        <v>154</v>
      </c>
      <c r="G139" s="69" t="s">
        <v>619</v>
      </c>
      <c r="H139" s="35"/>
      <c r="I139" s="7"/>
      <c r="J139" s="7"/>
      <c r="K139" s="7"/>
      <c r="L139" s="7"/>
      <c r="M139" s="7"/>
      <c r="N139" s="7"/>
    </row>
    <row r="140" spans="4:14">
      <c r="D140" s="55" t="s">
        <v>600</v>
      </c>
      <c r="E140" s="28">
        <f t="shared" si="2"/>
        <v>0</v>
      </c>
      <c r="F140" s="69" t="s">
        <v>155</v>
      </c>
      <c r="G140" s="69" t="s">
        <v>620</v>
      </c>
      <c r="H140" s="36"/>
      <c r="I140" s="7"/>
      <c r="J140" s="7"/>
      <c r="K140" s="7"/>
      <c r="L140" s="7"/>
      <c r="M140" s="7"/>
      <c r="N140" s="7"/>
    </row>
    <row r="141" spans="4:14">
      <c r="D141" s="55" t="s">
        <v>601</v>
      </c>
      <c r="E141" s="28">
        <f t="shared" si="2"/>
        <v>0</v>
      </c>
      <c r="F141" s="69" t="s">
        <v>156</v>
      </c>
      <c r="G141" s="69" t="s">
        <v>614</v>
      </c>
      <c r="H141" s="89"/>
      <c r="I141" s="7"/>
      <c r="J141" s="7"/>
      <c r="K141" s="7"/>
      <c r="L141" s="7"/>
      <c r="M141" s="7"/>
      <c r="N141" s="7"/>
    </row>
    <row r="142" spans="4:14">
      <c r="D142" s="55" t="s">
        <v>602</v>
      </c>
      <c r="E142" s="28">
        <f t="shared" si="2"/>
        <v>0</v>
      </c>
      <c r="F142" s="69" t="s">
        <v>157</v>
      </c>
      <c r="G142" s="69" t="s">
        <v>621</v>
      </c>
      <c r="H142" s="89"/>
      <c r="I142" s="7"/>
      <c r="J142" s="7"/>
      <c r="K142" s="7"/>
      <c r="L142" s="7"/>
      <c r="M142" s="7"/>
      <c r="N142" s="7"/>
    </row>
    <row r="143" spans="4:14">
      <c r="D143" s="55" t="s">
        <v>603</v>
      </c>
      <c r="E143" s="28">
        <f t="shared" si="2"/>
        <v>0</v>
      </c>
      <c r="F143" s="69" t="s">
        <v>159</v>
      </c>
      <c r="G143" s="69" t="s">
        <v>158</v>
      </c>
      <c r="H143" s="71"/>
      <c r="I143" s="7"/>
      <c r="J143" s="7"/>
      <c r="K143" s="7"/>
      <c r="L143" s="7"/>
      <c r="M143" s="7"/>
      <c r="N143" s="7"/>
    </row>
    <row r="144" spans="4:14" ht="16" thickBot="1">
      <c r="D144" s="39" t="s">
        <v>608</v>
      </c>
      <c r="E144" s="90">
        <f>SUM(E128:E143)</f>
        <v>0</v>
      </c>
      <c r="F144" s="69" t="s">
        <v>126</v>
      </c>
      <c r="G144" s="69" t="s">
        <v>160</v>
      </c>
      <c r="I144" s="7"/>
      <c r="J144" s="7"/>
      <c r="K144" s="91"/>
      <c r="L144" s="83"/>
      <c r="M144" s="7"/>
      <c r="N144" s="7"/>
    </row>
    <row r="145" spans="4:14">
      <c r="D145" s="4"/>
      <c r="E145" s="4"/>
      <c r="F145" s="4"/>
      <c r="G145" s="7"/>
      <c r="H145" s="7"/>
      <c r="I145" s="7"/>
      <c r="J145" s="7"/>
      <c r="K145" s="7"/>
      <c r="L145" s="7"/>
      <c r="M145" s="7"/>
      <c r="N145" s="7"/>
    </row>
    <row r="146" spans="4:14" ht="16" thickBot="1">
      <c r="D146" s="4"/>
      <c r="E146" s="4"/>
      <c r="F146" s="4"/>
      <c r="G146" s="7"/>
      <c r="H146" s="7"/>
      <c r="I146" s="7"/>
      <c r="J146" s="7"/>
      <c r="K146" s="7"/>
      <c r="L146" s="7"/>
      <c r="M146" s="7"/>
      <c r="N146" s="7"/>
    </row>
    <row r="147" spans="4:14" ht="16" thickBot="1">
      <c r="D147" s="296" t="s">
        <v>161</v>
      </c>
      <c r="E147" s="360" t="s">
        <v>102</v>
      </c>
      <c r="F147" s="312"/>
      <c r="G147" s="7"/>
      <c r="H147" s="343" t="s">
        <v>162</v>
      </c>
      <c r="I147" s="343"/>
      <c r="J147" s="343"/>
      <c r="K147" s="343"/>
      <c r="L147" s="343"/>
      <c r="M147" s="343"/>
      <c r="N147" s="7"/>
    </row>
    <row r="148" spans="4:14" ht="31">
      <c r="D148" s="93"/>
      <c r="E148" s="1" t="s">
        <v>622</v>
      </c>
      <c r="F148" s="46" t="s">
        <v>623</v>
      </c>
      <c r="G148" s="359" t="s">
        <v>163</v>
      </c>
      <c r="H148" s="343"/>
      <c r="I148" s="343"/>
      <c r="J148" s="343"/>
      <c r="K148" s="343"/>
      <c r="L148" s="343"/>
      <c r="M148" s="343"/>
      <c r="N148" s="7"/>
    </row>
    <row r="149" spans="4:14">
      <c r="D149" s="43" t="s">
        <v>164</v>
      </c>
      <c r="E149" s="42">
        <v>0</v>
      </c>
      <c r="F149" s="41">
        <v>0</v>
      </c>
      <c r="G149" s="359"/>
      <c r="H149" s="343"/>
      <c r="I149" s="343"/>
      <c r="J149" s="343"/>
      <c r="K149" s="343"/>
      <c r="L149" s="343"/>
      <c r="M149" s="343"/>
      <c r="N149" s="7"/>
    </row>
    <row r="150" spans="4:14">
      <c r="D150" s="43" t="s">
        <v>165</v>
      </c>
      <c r="E150" s="42">
        <v>0</v>
      </c>
      <c r="F150" s="41">
        <v>0</v>
      </c>
      <c r="G150" s="359"/>
      <c r="H150" s="343"/>
      <c r="I150" s="343"/>
      <c r="J150" s="343"/>
      <c r="K150" s="343"/>
      <c r="L150" s="343"/>
      <c r="M150" s="343"/>
      <c r="N150" s="7"/>
    </row>
    <row r="151" spans="4:14" ht="32" customHeight="1" thickBot="1">
      <c r="D151" s="44" t="s">
        <v>166</v>
      </c>
      <c r="E151" s="94">
        <f>+E149+E150</f>
        <v>0</v>
      </c>
      <c r="F151" s="95">
        <f>+F149+F150</f>
        <v>0</v>
      </c>
      <c r="G151" s="359"/>
      <c r="H151" s="343"/>
      <c r="I151" s="343"/>
      <c r="J151" s="343"/>
      <c r="K151" s="343"/>
      <c r="L151" s="343"/>
      <c r="M151" s="343"/>
      <c r="N151" s="7"/>
    </row>
    <row r="152" spans="4:14">
      <c r="D152" s="5"/>
      <c r="E152" s="5"/>
      <c r="F152" s="5"/>
      <c r="G152" s="7"/>
      <c r="H152" s="7"/>
      <c r="I152" s="7"/>
      <c r="J152" s="7"/>
      <c r="K152" s="56"/>
      <c r="L152" s="56"/>
      <c r="M152" s="56"/>
      <c r="N152" s="56"/>
    </row>
    <row r="153" spans="4:14" ht="16" thickBot="1">
      <c r="D153" s="5"/>
      <c r="E153" s="5"/>
      <c r="F153" s="5"/>
      <c r="G153" s="7"/>
      <c r="H153" s="7"/>
      <c r="I153" s="7"/>
      <c r="J153" s="7"/>
      <c r="K153" s="56"/>
      <c r="L153" s="56"/>
      <c r="M153" s="56"/>
      <c r="N153" s="56"/>
    </row>
    <row r="154" spans="4:14" ht="16" thickBot="1">
      <c r="D154" s="311" t="s">
        <v>167</v>
      </c>
      <c r="E154" s="312" t="s">
        <v>102</v>
      </c>
      <c r="F154" s="56"/>
      <c r="G154" s="7"/>
      <c r="H154" s="7"/>
      <c r="I154" s="7"/>
      <c r="J154" s="7"/>
      <c r="K154" s="56"/>
      <c r="L154" s="56"/>
      <c r="M154" s="56"/>
      <c r="N154" s="56"/>
    </row>
    <row r="155" spans="4:14">
      <c r="D155" s="311" t="s">
        <v>168</v>
      </c>
      <c r="E155" s="312"/>
      <c r="F155" s="56"/>
      <c r="G155" s="56"/>
      <c r="H155" s="56"/>
      <c r="I155" s="56"/>
      <c r="J155" s="56"/>
      <c r="K155" s="56"/>
      <c r="L155" s="56"/>
      <c r="M155" s="56"/>
      <c r="N155" s="56"/>
    </row>
    <row r="156" spans="4:14">
      <c r="D156" s="96" t="s">
        <v>170</v>
      </c>
      <c r="E156" s="41">
        <v>0</v>
      </c>
      <c r="F156" s="56"/>
      <c r="G156" s="69" t="s">
        <v>169</v>
      </c>
      <c r="H156" s="56"/>
      <c r="I156" s="56"/>
      <c r="J156" s="56"/>
      <c r="K156" s="56"/>
      <c r="L156" s="56"/>
      <c r="M156" s="56"/>
      <c r="N156" s="56"/>
    </row>
    <row r="157" spans="4:14" ht="31">
      <c r="D157" s="97" t="s">
        <v>172</v>
      </c>
      <c r="E157" s="41">
        <v>0</v>
      </c>
      <c r="F157" s="56"/>
      <c r="G157" s="69" t="s">
        <v>171</v>
      </c>
      <c r="H157" s="56"/>
      <c r="I157" s="56"/>
      <c r="J157" s="56"/>
      <c r="K157" s="56"/>
      <c r="L157" s="56"/>
      <c r="M157" s="56"/>
      <c r="N157" s="56"/>
    </row>
    <row r="158" spans="4:14" ht="16" thickBot="1">
      <c r="D158" s="98" t="s">
        <v>174</v>
      </c>
      <c r="E158" s="99">
        <v>0</v>
      </c>
      <c r="F158" s="69" t="s">
        <v>151</v>
      </c>
      <c r="G158" s="69" t="s">
        <v>173</v>
      </c>
      <c r="H158" s="56"/>
      <c r="I158" s="56"/>
      <c r="J158" s="56"/>
      <c r="K158" s="56"/>
      <c r="L158" s="56"/>
      <c r="M158" s="56"/>
      <c r="N158" s="56"/>
    </row>
    <row r="159" spans="4:14" ht="16" thickBot="1">
      <c r="D159" s="56"/>
      <c r="E159" s="56"/>
      <c r="F159" s="56"/>
      <c r="G159" s="56"/>
      <c r="H159" s="56"/>
      <c r="I159" s="56"/>
      <c r="J159" s="56"/>
      <c r="K159" s="56"/>
      <c r="L159" s="56"/>
      <c r="M159" s="56"/>
      <c r="N159" s="56"/>
    </row>
    <row r="160" spans="4:14" ht="16" thickBot="1">
      <c r="D160" s="296" t="s">
        <v>175</v>
      </c>
      <c r="E160" s="297"/>
      <c r="F160" s="298"/>
      <c r="G160" s="56"/>
      <c r="H160" s="56"/>
      <c r="I160" s="56"/>
      <c r="J160" s="56"/>
      <c r="K160" s="56"/>
      <c r="L160" s="56"/>
      <c r="M160" s="56"/>
      <c r="N160" s="56"/>
    </row>
    <row r="161" spans="1:14">
      <c r="A161" s="258"/>
      <c r="D161" s="103"/>
      <c r="E161" s="104" t="s">
        <v>177</v>
      </c>
      <c r="F161" s="105" t="s">
        <v>178</v>
      </c>
      <c r="G161" s="69" t="s">
        <v>176</v>
      </c>
      <c r="H161" s="56"/>
      <c r="I161" s="56"/>
      <c r="J161" s="56"/>
      <c r="K161" s="56"/>
      <c r="L161" s="56"/>
      <c r="M161" s="56"/>
      <c r="N161" s="56"/>
    </row>
    <row r="162" spans="1:14">
      <c r="A162" s="259" t="s">
        <v>661</v>
      </c>
      <c r="D162" s="100" t="s">
        <v>180</v>
      </c>
      <c r="E162" s="129" t="s">
        <v>3</v>
      </c>
      <c r="F162" s="130" t="s">
        <v>3</v>
      </c>
      <c r="G162" s="116" t="s">
        <v>179</v>
      </c>
      <c r="H162" s="56"/>
      <c r="I162" s="56"/>
      <c r="J162" s="56"/>
      <c r="K162" s="56"/>
      <c r="L162" s="56"/>
      <c r="M162" s="56"/>
      <c r="N162" s="56"/>
    </row>
    <row r="163" spans="1:14">
      <c r="A163" s="258" t="s">
        <v>3</v>
      </c>
      <c r="D163" s="101" t="s">
        <v>182</v>
      </c>
      <c r="E163" s="129" t="s">
        <v>3</v>
      </c>
      <c r="F163" s="130" t="s">
        <v>3</v>
      </c>
      <c r="G163" s="116" t="s">
        <v>181</v>
      </c>
      <c r="H163" s="56"/>
      <c r="I163" s="56"/>
      <c r="J163" s="56"/>
      <c r="K163" s="56"/>
      <c r="L163" s="56"/>
      <c r="M163" s="56"/>
      <c r="N163" s="56"/>
    </row>
    <row r="164" spans="1:14" ht="16" thickBot="1">
      <c r="A164" s="258"/>
      <c r="D164" s="102" t="s">
        <v>184</v>
      </c>
      <c r="E164" s="131" t="s">
        <v>3</v>
      </c>
      <c r="F164" s="132" t="s">
        <v>3</v>
      </c>
      <c r="G164" s="116" t="s">
        <v>183</v>
      </c>
      <c r="H164" s="56"/>
      <c r="I164" s="56"/>
      <c r="J164" s="56"/>
      <c r="K164" s="56"/>
      <c r="L164" s="56"/>
      <c r="M164" s="56"/>
      <c r="N164" s="56"/>
    </row>
    <row r="165" spans="1:14" ht="16" thickBot="1">
      <c r="A165" s="258"/>
      <c r="D165" s="6"/>
      <c r="E165" s="56"/>
      <c r="F165" s="56"/>
      <c r="G165" s="56"/>
      <c r="H165" s="56"/>
      <c r="I165" s="56"/>
      <c r="J165" s="56"/>
      <c r="K165" s="56"/>
      <c r="L165" s="56"/>
      <c r="M165" s="7"/>
      <c r="N165" s="7"/>
    </row>
    <row r="166" spans="1:14" ht="16" thickBot="1">
      <c r="B166" s="9"/>
      <c r="D166" s="311" t="s">
        <v>185</v>
      </c>
      <c r="E166" s="312"/>
      <c r="F166" s="56"/>
      <c r="G166" s="56"/>
      <c r="H166" s="56"/>
      <c r="I166" s="56"/>
      <c r="J166" s="56"/>
      <c r="K166" s="56"/>
      <c r="L166" s="56"/>
      <c r="M166" s="7"/>
      <c r="N166" s="7"/>
    </row>
    <row r="167" spans="1:14" ht="16" thickBot="1">
      <c r="B167" s="9"/>
      <c r="D167" s="108" t="s">
        <v>626</v>
      </c>
      <c r="E167" s="109">
        <v>2024</v>
      </c>
      <c r="F167" s="69" t="s">
        <v>186</v>
      </c>
      <c r="G167" s="56"/>
      <c r="H167" s="56"/>
      <c r="I167" s="56"/>
      <c r="J167" s="56"/>
      <c r="K167" s="56"/>
      <c r="L167" s="56"/>
      <c r="M167" s="7"/>
      <c r="N167" s="7"/>
    </row>
    <row r="168" spans="1:14">
      <c r="B168" s="9"/>
      <c r="D168" s="311" t="s">
        <v>624</v>
      </c>
      <c r="E168" s="312"/>
      <c r="F168" s="7"/>
      <c r="G168" s="7"/>
      <c r="H168" s="7"/>
      <c r="I168" s="7"/>
      <c r="J168" s="7"/>
      <c r="K168" s="7"/>
      <c r="L168" s="7"/>
      <c r="M168" s="7"/>
      <c r="N168" s="7"/>
    </row>
    <row r="169" spans="1:14">
      <c r="B169" s="9"/>
      <c r="D169" s="364" t="s">
        <v>187</v>
      </c>
      <c r="E169" s="365"/>
      <c r="F169" s="7"/>
      <c r="G169" s="7"/>
      <c r="H169" s="7"/>
      <c r="I169" s="7"/>
      <c r="J169" s="7"/>
      <c r="K169" s="7"/>
      <c r="L169" s="7"/>
      <c r="M169" s="7"/>
      <c r="N169" s="7"/>
    </row>
    <row r="170" spans="1:14" ht="46.5" customHeight="1">
      <c r="B170" s="9"/>
      <c r="D170" s="43" t="s">
        <v>625</v>
      </c>
      <c r="E170" s="110" t="s">
        <v>189</v>
      </c>
      <c r="F170" s="69" t="s">
        <v>188</v>
      </c>
      <c r="G170" s="7"/>
      <c r="H170" s="7"/>
      <c r="I170" s="7"/>
      <c r="J170" s="7"/>
      <c r="K170" s="7"/>
      <c r="L170" s="7"/>
      <c r="M170" s="7"/>
      <c r="N170" s="7"/>
    </row>
    <row r="171" spans="1:14" ht="16" thickBot="1">
      <c r="B171" s="9"/>
      <c r="D171" s="111">
        <v>0</v>
      </c>
      <c r="E171" s="112">
        <v>0</v>
      </c>
      <c r="F171" s="7"/>
      <c r="G171" s="7"/>
      <c r="H171" s="7"/>
      <c r="I171" s="7"/>
      <c r="J171" s="7"/>
      <c r="K171" s="7"/>
      <c r="L171" s="7"/>
      <c r="M171" s="7"/>
      <c r="N171" s="7"/>
    </row>
    <row r="172" spans="1:14" ht="14" customHeight="1" thickBot="1">
      <c r="B172" s="9"/>
      <c r="C172" s="9"/>
      <c r="D172" s="347" t="s">
        <v>191</v>
      </c>
      <c r="E172" s="348"/>
      <c r="F172" s="348"/>
      <c r="G172" s="349"/>
      <c r="H172" s="7"/>
      <c r="I172" s="7"/>
      <c r="J172" s="7"/>
      <c r="K172" s="7"/>
      <c r="L172" s="7"/>
      <c r="M172" s="7"/>
      <c r="N172" s="7"/>
    </row>
    <row r="173" spans="1:14" ht="46.5">
      <c r="B173" s="9"/>
      <c r="C173" s="9"/>
      <c r="D173" s="113" t="s">
        <v>627</v>
      </c>
      <c r="E173" s="114" t="s">
        <v>628</v>
      </c>
      <c r="F173" s="114" t="s">
        <v>629</v>
      </c>
      <c r="G173" s="115" t="s">
        <v>630</v>
      </c>
      <c r="H173" s="116" t="s">
        <v>190</v>
      </c>
      <c r="I173" s="7"/>
      <c r="J173" s="7"/>
      <c r="K173" s="7"/>
      <c r="L173" s="7"/>
      <c r="M173" s="7"/>
      <c r="N173" s="7"/>
    </row>
    <row r="174" spans="1:14" ht="16" thickBot="1">
      <c r="B174" s="9"/>
      <c r="C174" s="9"/>
      <c r="D174" s="107">
        <v>0</v>
      </c>
      <c r="E174" s="106">
        <v>0</v>
      </c>
      <c r="F174" s="106">
        <v>0</v>
      </c>
      <c r="G174" s="99">
        <v>0</v>
      </c>
      <c r="H174" s="7"/>
      <c r="I174" s="7"/>
      <c r="J174" s="7"/>
      <c r="K174" s="7"/>
      <c r="L174" s="7"/>
      <c r="M174" s="7"/>
      <c r="N174" s="7"/>
    </row>
    <row r="175" spans="1:14" ht="16" thickBot="1">
      <c r="B175" s="9"/>
      <c r="C175" s="9"/>
      <c r="D175" s="7"/>
      <c r="E175" s="7"/>
      <c r="F175" s="7"/>
      <c r="G175" s="7"/>
      <c r="H175" s="7"/>
      <c r="I175" s="7"/>
      <c r="J175" s="7"/>
      <c r="K175" s="7"/>
      <c r="L175" s="7"/>
      <c r="M175" s="7"/>
      <c r="N175" s="7"/>
    </row>
    <row r="176" spans="1:14" ht="15.5" customHeight="1">
      <c r="B176" s="9"/>
      <c r="C176" s="9"/>
      <c r="D176" s="320" t="s">
        <v>193</v>
      </c>
      <c r="E176" s="321"/>
      <c r="F176" s="321"/>
      <c r="G176" s="321"/>
      <c r="H176" s="322"/>
      <c r="I176" s="7"/>
      <c r="J176" s="7"/>
      <c r="K176" s="7"/>
      <c r="L176" s="7"/>
      <c r="M176" s="7"/>
      <c r="N176" s="7"/>
    </row>
    <row r="177" spans="1:17" ht="46.5">
      <c r="B177" s="9"/>
      <c r="C177" s="9"/>
      <c r="D177" s="117" t="s">
        <v>631</v>
      </c>
      <c r="E177" s="48" t="s">
        <v>632</v>
      </c>
      <c r="F177" s="48" t="s">
        <v>633</v>
      </c>
      <c r="G177" s="48" t="s">
        <v>634</v>
      </c>
      <c r="H177" s="118" t="s">
        <v>635</v>
      </c>
      <c r="I177" s="116" t="s">
        <v>192</v>
      </c>
      <c r="J177" s="343" t="s">
        <v>194</v>
      </c>
      <c r="K177" s="343"/>
      <c r="L177" s="343"/>
      <c r="M177" s="343"/>
      <c r="N177" s="343"/>
    </row>
    <row r="178" spans="1:17">
      <c r="A178" s="84" t="s">
        <v>645</v>
      </c>
      <c r="B178" s="9"/>
      <c r="C178" s="9"/>
      <c r="D178" s="119" t="s">
        <v>3</v>
      </c>
      <c r="E178" s="42">
        <v>0</v>
      </c>
      <c r="F178" s="42">
        <v>0</v>
      </c>
      <c r="G178" s="42">
        <v>0</v>
      </c>
      <c r="H178" s="41">
        <v>0</v>
      </c>
      <c r="I178" s="7"/>
      <c r="J178" s="343"/>
      <c r="K178" s="343"/>
      <c r="L178" s="343"/>
      <c r="M178" s="343"/>
      <c r="N178" s="343"/>
    </row>
    <row r="179" spans="1:17" ht="16" thickBot="1">
      <c r="A179" s="84" t="s">
        <v>3</v>
      </c>
      <c r="B179" s="9"/>
      <c r="C179" s="9"/>
      <c r="D179" s="107" t="s">
        <v>3</v>
      </c>
      <c r="E179" s="106">
        <v>0</v>
      </c>
      <c r="F179" s="106">
        <v>0</v>
      </c>
      <c r="G179" s="106">
        <v>0</v>
      </c>
      <c r="H179" s="99">
        <v>0</v>
      </c>
      <c r="I179" s="7"/>
      <c r="J179" s="343"/>
      <c r="K179" s="343"/>
      <c r="L179" s="343"/>
      <c r="M179" s="343"/>
      <c r="N179" s="343"/>
    </row>
    <row r="180" spans="1:17">
      <c r="C180" s="9"/>
      <c r="I180" s="7"/>
      <c r="J180" s="7"/>
      <c r="K180" s="7"/>
      <c r="L180" s="7"/>
      <c r="M180" s="7"/>
      <c r="N180" s="7"/>
    </row>
    <row r="181" spans="1:17" ht="16" thickBot="1">
      <c r="I181" s="7"/>
      <c r="J181" s="7"/>
      <c r="K181" s="7"/>
      <c r="L181" s="7"/>
      <c r="M181" s="7"/>
      <c r="N181" s="7"/>
    </row>
    <row r="182" spans="1:17" ht="20.5" thickBot="1">
      <c r="D182" s="309" t="s">
        <v>195</v>
      </c>
      <c r="E182" s="310" t="s">
        <v>1</v>
      </c>
      <c r="F182" s="10"/>
      <c r="G182" s="10"/>
      <c r="H182" s="10"/>
      <c r="I182" s="10"/>
      <c r="J182" s="10"/>
      <c r="K182" s="17"/>
      <c r="L182" s="10"/>
      <c r="M182" s="7"/>
      <c r="N182" s="7"/>
    </row>
    <row r="183" spans="1:17" ht="16" thickBot="1">
      <c r="D183" s="311" t="s">
        <v>636</v>
      </c>
      <c r="E183" s="312"/>
      <c r="F183" s="5"/>
      <c r="G183" s="5"/>
      <c r="H183" s="5"/>
      <c r="I183" s="5"/>
      <c r="J183" s="5"/>
      <c r="K183" s="5"/>
      <c r="L183" s="5"/>
      <c r="M183" s="7"/>
      <c r="N183" s="7"/>
    </row>
    <row r="184" spans="1:17">
      <c r="D184" s="320" t="s">
        <v>196</v>
      </c>
      <c r="E184" s="322"/>
      <c r="F184" s="7"/>
      <c r="G184" s="7"/>
      <c r="H184" s="7"/>
      <c r="I184" s="7"/>
      <c r="J184" s="7"/>
      <c r="K184" s="7"/>
      <c r="L184" s="10"/>
      <c r="M184" s="7"/>
      <c r="N184" s="7"/>
    </row>
    <row r="185" spans="1:17">
      <c r="D185" s="24" t="s">
        <v>637</v>
      </c>
      <c r="E185" s="110"/>
      <c r="F185" s="69" t="s">
        <v>197</v>
      </c>
      <c r="G185" s="7"/>
      <c r="H185" s="7"/>
      <c r="I185" s="7"/>
      <c r="J185" s="7"/>
      <c r="K185" s="7"/>
      <c r="L185" s="9"/>
    </row>
    <row r="186" spans="1:17" ht="33.5" customHeight="1">
      <c r="A186" s="84" t="s">
        <v>648</v>
      </c>
      <c r="D186" s="120" t="s">
        <v>641</v>
      </c>
      <c r="E186" s="41" t="s">
        <v>650</v>
      </c>
      <c r="F186" s="69" t="s">
        <v>638</v>
      </c>
      <c r="G186" s="350" t="s">
        <v>198</v>
      </c>
      <c r="H186" s="351"/>
      <c r="I186" s="351"/>
      <c r="J186" s="351"/>
      <c r="K186" s="351"/>
      <c r="L186" s="351"/>
      <c r="M186" s="351"/>
      <c r="N186" s="351"/>
      <c r="O186" s="351"/>
      <c r="P186" s="351"/>
      <c r="Q186" s="352"/>
    </row>
    <row r="187" spans="1:17" ht="29" customHeight="1">
      <c r="A187" s="84" t="s">
        <v>649</v>
      </c>
      <c r="D187" s="120" t="s">
        <v>642</v>
      </c>
      <c r="E187" s="41" t="s">
        <v>650</v>
      </c>
      <c r="F187" s="69" t="s">
        <v>639</v>
      </c>
      <c r="G187" s="343" t="s">
        <v>199</v>
      </c>
      <c r="H187" s="343"/>
      <c r="I187" s="343"/>
      <c r="J187" s="343"/>
      <c r="K187" s="343"/>
      <c r="L187" s="343"/>
      <c r="M187" s="343"/>
      <c r="N187" s="343"/>
      <c r="O187" s="343"/>
      <c r="P187" s="343"/>
      <c r="Q187" s="343"/>
    </row>
    <row r="188" spans="1:17">
      <c r="A188" s="84" t="s">
        <v>650</v>
      </c>
      <c r="D188" s="120" t="s">
        <v>643</v>
      </c>
      <c r="E188" s="41" t="s">
        <v>650</v>
      </c>
      <c r="F188" s="69" t="s">
        <v>200</v>
      </c>
      <c r="G188" s="344" t="s">
        <v>201</v>
      </c>
      <c r="H188" s="345"/>
      <c r="I188" s="345"/>
      <c r="J188" s="345"/>
      <c r="K188" s="345"/>
      <c r="L188" s="345"/>
      <c r="M188" s="345"/>
      <c r="N188" s="345"/>
      <c r="O188" s="345"/>
      <c r="P188" s="345"/>
      <c r="Q188" s="346"/>
    </row>
    <row r="189" spans="1:17" ht="31" customHeight="1" thickBot="1">
      <c r="D189" s="125" t="s">
        <v>644</v>
      </c>
      <c r="E189" s="112" t="s">
        <v>650</v>
      </c>
      <c r="F189" s="69" t="s">
        <v>640</v>
      </c>
      <c r="G189" s="343" t="s">
        <v>202</v>
      </c>
      <c r="H189" s="343"/>
      <c r="I189" s="343"/>
      <c r="J189" s="343"/>
      <c r="K189" s="343"/>
      <c r="L189" s="343"/>
      <c r="M189" s="343"/>
      <c r="N189" s="343"/>
      <c r="O189" s="343"/>
      <c r="P189" s="343"/>
      <c r="Q189" s="343"/>
    </row>
    <row r="190" spans="1:17" ht="15.5" customHeight="1">
      <c r="D190" s="126" t="s">
        <v>204</v>
      </c>
      <c r="E190" s="127" t="s">
        <v>205</v>
      </c>
      <c r="F190" s="128" t="s">
        <v>206</v>
      </c>
      <c r="G190" s="299" t="s">
        <v>203</v>
      </c>
      <c r="H190" s="7"/>
      <c r="I190" s="7"/>
      <c r="J190" s="7"/>
      <c r="K190" s="7"/>
      <c r="L190" s="7"/>
    </row>
    <row r="191" spans="1:17" ht="68" customHeight="1">
      <c r="D191" s="43" t="s">
        <v>653</v>
      </c>
      <c r="E191" s="129" t="s">
        <v>3</v>
      </c>
      <c r="F191" s="130" t="s">
        <v>3</v>
      </c>
      <c r="G191" s="299"/>
      <c r="H191" s="292" t="s">
        <v>207</v>
      </c>
      <c r="I191" s="292"/>
      <c r="J191" s="292"/>
      <c r="K191" s="292"/>
      <c r="L191" s="292"/>
      <c r="M191" s="292"/>
      <c r="N191" s="292"/>
      <c r="O191" s="292"/>
      <c r="P191" s="292"/>
      <c r="Q191" s="292"/>
    </row>
    <row r="192" spans="1:17" ht="30" customHeight="1">
      <c r="D192" s="43" t="s">
        <v>654</v>
      </c>
      <c r="E192" s="129" t="s">
        <v>3</v>
      </c>
      <c r="F192" s="130" t="s">
        <v>3</v>
      </c>
      <c r="G192" s="299"/>
      <c r="H192" s="292" t="s">
        <v>208</v>
      </c>
      <c r="I192" s="292"/>
      <c r="J192" s="292"/>
      <c r="K192" s="292"/>
      <c r="L192" s="292"/>
      <c r="M192" s="292"/>
      <c r="N192" s="292"/>
      <c r="O192" s="292"/>
      <c r="P192" s="292"/>
      <c r="Q192" s="292"/>
    </row>
    <row r="193" spans="1:17" ht="30" customHeight="1">
      <c r="D193" s="43" t="s">
        <v>655</v>
      </c>
      <c r="E193" s="129" t="s">
        <v>3</v>
      </c>
      <c r="F193" s="130" t="s">
        <v>3</v>
      </c>
      <c r="G193" s="299"/>
      <c r="H193" s="292" t="s">
        <v>209</v>
      </c>
      <c r="I193" s="292"/>
      <c r="J193" s="292"/>
      <c r="K193" s="292"/>
      <c r="L193" s="292"/>
      <c r="M193" s="292"/>
      <c r="N193" s="292"/>
      <c r="O193" s="292"/>
      <c r="P193" s="292"/>
      <c r="Q193" s="292"/>
    </row>
    <row r="194" spans="1:17" ht="31" customHeight="1">
      <c r="D194" s="43" t="s">
        <v>656</v>
      </c>
      <c r="E194" s="129" t="s">
        <v>3</v>
      </c>
      <c r="F194" s="130" t="s">
        <v>3</v>
      </c>
      <c r="G194" s="299"/>
      <c r="H194" s="292" t="s">
        <v>210</v>
      </c>
      <c r="I194" s="292"/>
      <c r="J194" s="292"/>
      <c r="K194" s="292"/>
      <c r="L194" s="292"/>
      <c r="M194" s="292"/>
      <c r="N194" s="292"/>
      <c r="O194" s="292"/>
      <c r="P194" s="292"/>
      <c r="Q194" s="292"/>
    </row>
    <row r="195" spans="1:17" ht="15.75" customHeight="1" thickBot="1">
      <c r="D195" s="44" t="s">
        <v>657</v>
      </c>
      <c r="E195" s="131" t="s">
        <v>3</v>
      </c>
      <c r="F195" s="132" t="s">
        <v>3</v>
      </c>
      <c r="G195" s="299"/>
      <c r="H195" s="89"/>
      <c r="I195" s="7"/>
      <c r="J195" s="7"/>
      <c r="K195" s="7"/>
      <c r="L195" s="7"/>
    </row>
    <row r="196" spans="1:17">
      <c r="D196" s="133" t="s">
        <v>658</v>
      </c>
      <c r="E196" s="134" t="s">
        <v>659</v>
      </c>
      <c r="F196" s="135" t="s">
        <v>660</v>
      </c>
      <c r="G196" s="45" t="s">
        <v>211</v>
      </c>
      <c r="H196" s="7"/>
      <c r="I196" s="7"/>
      <c r="J196" s="7"/>
      <c r="K196" s="7"/>
      <c r="L196" s="9"/>
    </row>
    <row r="197" spans="1:17" ht="47.5" customHeight="1" thickBot="1">
      <c r="D197" s="136" t="s">
        <v>662</v>
      </c>
      <c r="E197" s="131" t="s">
        <v>3</v>
      </c>
      <c r="F197" s="132" t="s">
        <v>3</v>
      </c>
      <c r="G197" s="45" t="s">
        <v>212</v>
      </c>
      <c r="H197" s="292" t="s">
        <v>59</v>
      </c>
      <c r="I197" s="292"/>
      <c r="J197" s="292"/>
      <c r="K197" s="292"/>
      <c r="L197" s="292"/>
      <c r="M197" s="292"/>
      <c r="N197" s="292"/>
      <c r="O197" s="292"/>
      <c r="P197" s="292"/>
      <c r="Q197" s="292"/>
    </row>
    <row r="198" spans="1:17" ht="16" thickBot="1">
      <c r="D198" s="9"/>
      <c r="E198" s="9"/>
      <c r="F198" s="8"/>
      <c r="G198" s="8"/>
      <c r="H198" s="8"/>
      <c r="I198" s="8"/>
      <c r="J198" s="8"/>
      <c r="K198" s="8"/>
      <c r="L198" s="9"/>
    </row>
    <row r="199" spans="1:17">
      <c r="D199" s="320" t="s">
        <v>213</v>
      </c>
      <c r="E199" s="322"/>
      <c r="F199" s="10"/>
      <c r="G199" s="8"/>
      <c r="H199" s="10"/>
      <c r="I199" s="10"/>
      <c r="J199" s="10"/>
      <c r="K199" s="10"/>
      <c r="L199" s="10"/>
    </row>
    <row r="200" spans="1:17">
      <c r="D200" s="366" t="s">
        <v>663</v>
      </c>
      <c r="E200" s="367"/>
      <c r="F200" s="45" t="s">
        <v>214</v>
      </c>
      <c r="G200" s="89"/>
      <c r="H200" s="89"/>
      <c r="I200" s="7"/>
      <c r="J200" s="7"/>
      <c r="K200" s="7"/>
      <c r="L200" s="9"/>
    </row>
    <row r="201" spans="1:17">
      <c r="D201" s="137" t="s">
        <v>664</v>
      </c>
      <c r="E201" s="41">
        <v>0</v>
      </c>
      <c r="F201" s="45" t="s">
        <v>215</v>
      </c>
      <c r="G201" s="89"/>
      <c r="I201" s="7"/>
      <c r="J201" s="7"/>
      <c r="K201" s="7"/>
      <c r="L201" s="9"/>
    </row>
    <row r="202" spans="1:17">
      <c r="D202" s="137" t="s">
        <v>666</v>
      </c>
      <c r="E202" s="41">
        <v>0</v>
      </c>
      <c r="F202" s="45" t="s">
        <v>216</v>
      </c>
      <c r="G202" s="89"/>
      <c r="I202" s="7"/>
      <c r="J202" s="7"/>
      <c r="K202" s="7"/>
      <c r="L202" s="9"/>
    </row>
    <row r="203" spans="1:17">
      <c r="D203" s="137" t="s">
        <v>667</v>
      </c>
      <c r="E203" s="41">
        <v>0</v>
      </c>
      <c r="F203" s="45" t="s">
        <v>217</v>
      </c>
      <c r="G203" s="89"/>
      <c r="I203" s="7"/>
      <c r="J203" s="7"/>
      <c r="K203" s="7"/>
      <c r="L203" s="9"/>
    </row>
    <row r="204" spans="1:17" ht="16" thickBot="1">
      <c r="D204" s="138" t="s">
        <v>665</v>
      </c>
      <c r="E204" s="139">
        <f>+E201+E202-E203</f>
        <v>0</v>
      </c>
      <c r="F204" s="45" t="s">
        <v>218</v>
      </c>
      <c r="G204" s="89"/>
      <c r="I204" s="7"/>
      <c r="J204" s="7"/>
      <c r="K204" s="7"/>
      <c r="L204" s="9"/>
    </row>
    <row r="205" spans="1:17" ht="16" thickBot="1">
      <c r="D205" s="7"/>
      <c r="E205" s="7"/>
      <c r="F205" s="7"/>
      <c r="G205" s="7"/>
      <c r="H205" s="7"/>
      <c r="I205" s="7"/>
      <c r="J205" s="7"/>
      <c r="K205" s="7"/>
    </row>
    <row r="206" spans="1:17">
      <c r="D206" s="320" t="s">
        <v>219</v>
      </c>
      <c r="E206" s="322" t="s">
        <v>102</v>
      </c>
      <c r="F206" s="5"/>
      <c r="G206" s="5"/>
      <c r="H206" s="5"/>
      <c r="I206" s="5"/>
      <c r="J206" s="5"/>
      <c r="K206" s="5"/>
      <c r="L206" s="5"/>
      <c r="M206" s="5"/>
      <c r="N206" s="5"/>
    </row>
    <row r="207" spans="1:17" ht="31" customHeight="1" thickBot="1">
      <c r="D207" s="140" t="s">
        <v>221</v>
      </c>
      <c r="E207" s="112" t="s">
        <v>650</v>
      </c>
      <c r="F207" s="45" t="s">
        <v>220</v>
      </c>
      <c r="G207" s="328" t="s">
        <v>222</v>
      </c>
      <c r="H207" s="329"/>
      <c r="I207" s="329"/>
      <c r="J207" s="329"/>
      <c r="K207" s="290"/>
      <c r="L207" s="290"/>
      <c r="M207" s="290"/>
      <c r="N207" s="290"/>
      <c r="O207" s="290"/>
      <c r="P207" s="291"/>
    </row>
    <row r="208" spans="1:17">
      <c r="A208" s="9"/>
      <c r="B208" s="9"/>
      <c r="C208" s="9"/>
      <c r="D208" s="320" t="s">
        <v>223</v>
      </c>
      <c r="E208" s="321"/>
      <c r="F208" s="321"/>
      <c r="G208" s="321"/>
      <c r="H208" s="321"/>
      <c r="I208" s="321"/>
      <c r="J208" s="322"/>
      <c r="K208" s="7"/>
      <c r="L208" s="7"/>
      <c r="M208" s="7"/>
      <c r="N208" s="7"/>
    </row>
    <row r="209" spans="1:16" ht="77.5" customHeight="1">
      <c r="A209" s="9"/>
      <c r="B209" s="9"/>
      <c r="C209" s="9"/>
      <c r="D209" s="370" t="s">
        <v>224</v>
      </c>
      <c r="E209" s="368" t="s">
        <v>668</v>
      </c>
      <c r="F209" s="293" t="s">
        <v>669</v>
      </c>
      <c r="G209" s="294"/>
      <c r="H209" s="294"/>
      <c r="I209" s="295"/>
      <c r="J209" s="110" t="s">
        <v>670</v>
      </c>
      <c r="K209" s="299" t="s">
        <v>220</v>
      </c>
      <c r="L209" s="7"/>
      <c r="M209" s="7"/>
      <c r="N209" s="7"/>
    </row>
    <row r="210" spans="1:16" ht="18.5">
      <c r="A210" s="9"/>
      <c r="B210" s="9"/>
      <c r="C210" s="9"/>
      <c r="D210" s="371"/>
      <c r="E210" s="369"/>
      <c r="F210" s="19" t="s">
        <v>226</v>
      </c>
      <c r="G210" s="19" t="s">
        <v>228</v>
      </c>
      <c r="H210" s="19" t="s">
        <v>229</v>
      </c>
      <c r="I210" s="1" t="s">
        <v>230</v>
      </c>
      <c r="J210" s="110"/>
      <c r="K210" s="299"/>
      <c r="L210" s="7"/>
      <c r="M210" s="7"/>
      <c r="N210" s="7"/>
    </row>
    <row r="211" spans="1:16" ht="18.5">
      <c r="A211" s="9"/>
      <c r="B211" s="9"/>
      <c r="C211" s="9"/>
      <c r="D211" s="141" t="s">
        <v>225</v>
      </c>
      <c r="E211" s="42">
        <v>0</v>
      </c>
      <c r="F211" s="42">
        <v>0</v>
      </c>
      <c r="G211" s="42">
        <v>0</v>
      </c>
      <c r="H211" s="42">
        <v>0</v>
      </c>
      <c r="I211" s="42">
        <v>0</v>
      </c>
      <c r="J211" s="41">
        <v>0</v>
      </c>
      <c r="K211" s="299"/>
      <c r="L211" s="7"/>
      <c r="M211" s="7"/>
      <c r="N211" s="7"/>
    </row>
    <row r="212" spans="1:16" ht="18.5">
      <c r="A212" s="9"/>
      <c r="B212" s="9"/>
      <c r="C212" s="9"/>
      <c r="D212" s="141" t="s">
        <v>226</v>
      </c>
      <c r="E212" s="42">
        <v>0</v>
      </c>
      <c r="F212" s="1" t="s">
        <v>227</v>
      </c>
      <c r="G212" s="42">
        <v>0</v>
      </c>
      <c r="H212" s="42">
        <v>0</v>
      </c>
      <c r="I212" s="42">
        <v>0</v>
      </c>
      <c r="J212" s="41">
        <v>0</v>
      </c>
      <c r="K212" s="299"/>
      <c r="L212" s="7"/>
      <c r="M212" s="7"/>
      <c r="N212" s="7"/>
    </row>
    <row r="213" spans="1:16" ht="18.5">
      <c r="A213" s="9"/>
      <c r="B213" s="9"/>
      <c r="C213" s="9"/>
      <c r="D213" s="141" t="s">
        <v>228</v>
      </c>
      <c r="E213" s="42">
        <v>0</v>
      </c>
      <c r="F213" s="1" t="s">
        <v>227</v>
      </c>
      <c r="G213" s="3" t="s">
        <v>227</v>
      </c>
      <c r="H213" s="42">
        <v>0</v>
      </c>
      <c r="I213" s="42">
        <v>0</v>
      </c>
      <c r="J213" s="41">
        <v>0</v>
      </c>
      <c r="K213" s="299"/>
      <c r="L213" s="7"/>
      <c r="M213" s="7"/>
      <c r="N213" s="7"/>
    </row>
    <row r="214" spans="1:16" ht="18.5">
      <c r="A214" s="9"/>
      <c r="B214" s="9"/>
      <c r="C214" s="9"/>
      <c r="D214" s="141" t="s">
        <v>229</v>
      </c>
      <c r="E214" s="42">
        <v>0</v>
      </c>
      <c r="F214" s="1" t="s">
        <v>227</v>
      </c>
      <c r="G214" s="3" t="s">
        <v>227</v>
      </c>
      <c r="H214" s="1" t="s">
        <v>227</v>
      </c>
      <c r="I214" s="42">
        <v>0</v>
      </c>
      <c r="J214" s="41">
        <v>0</v>
      </c>
      <c r="K214" s="299"/>
      <c r="L214" s="7"/>
      <c r="M214" s="7"/>
      <c r="N214" s="7"/>
    </row>
    <row r="215" spans="1:16" ht="15" customHeight="1" thickBot="1">
      <c r="A215" s="9"/>
      <c r="B215" s="9"/>
      <c r="C215" s="9"/>
      <c r="D215" s="25" t="s">
        <v>230</v>
      </c>
      <c r="E215" s="106">
        <v>0</v>
      </c>
      <c r="F215" s="142" t="s">
        <v>227</v>
      </c>
      <c r="G215" s="143" t="s">
        <v>227</v>
      </c>
      <c r="H215" s="142" t="s">
        <v>227</v>
      </c>
      <c r="I215" s="143" t="s">
        <v>227</v>
      </c>
      <c r="J215" s="144" t="s">
        <v>227</v>
      </c>
      <c r="K215" s="299"/>
      <c r="L215" s="7"/>
      <c r="M215" s="7"/>
      <c r="N215" s="7"/>
    </row>
    <row r="216" spans="1:16" ht="16" thickBot="1">
      <c r="A216" s="9"/>
      <c r="B216" s="9"/>
      <c r="C216" s="9"/>
      <c r="D216" s="11"/>
      <c r="E216" s="8"/>
      <c r="F216" s="11"/>
      <c r="G216" s="7"/>
      <c r="H216" s="7"/>
      <c r="I216" s="7"/>
      <c r="J216" s="7"/>
      <c r="K216" s="7"/>
      <c r="L216" s="7"/>
      <c r="M216" s="7"/>
      <c r="N216" s="7"/>
    </row>
    <row r="217" spans="1:16" ht="16" thickBot="1">
      <c r="A217" s="9"/>
      <c r="B217" s="9"/>
      <c r="C217" s="9"/>
      <c r="D217" s="296" t="s">
        <v>231</v>
      </c>
      <c r="E217" s="297"/>
      <c r="F217" s="298"/>
      <c r="G217" s="7"/>
      <c r="H217" s="7"/>
      <c r="I217" s="7"/>
      <c r="J217" s="7"/>
      <c r="K217" s="7"/>
      <c r="L217" s="7"/>
      <c r="M217" s="7"/>
      <c r="N217" s="7"/>
    </row>
    <row r="218" spans="1:16" ht="15" customHeight="1">
      <c r="A218" s="9"/>
      <c r="B218" s="9"/>
      <c r="C218" s="9"/>
      <c r="D218" s="145" t="s">
        <v>671</v>
      </c>
      <c r="E218" s="146" t="s">
        <v>672</v>
      </c>
      <c r="F218" s="135" t="s">
        <v>673</v>
      </c>
      <c r="G218" s="299" t="s">
        <v>232</v>
      </c>
      <c r="H218" s="7"/>
      <c r="I218" s="7"/>
      <c r="J218" s="7"/>
      <c r="K218" s="7"/>
      <c r="L218" s="7"/>
      <c r="M218" s="7"/>
      <c r="N218" s="7"/>
    </row>
    <row r="219" spans="1:16" ht="30" customHeight="1" thickBot="1">
      <c r="A219" s="9"/>
      <c r="B219" s="9"/>
      <c r="C219" s="9"/>
      <c r="D219" s="107">
        <v>0</v>
      </c>
      <c r="E219" s="106">
        <v>0</v>
      </c>
      <c r="F219" s="99">
        <v>0</v>
      </c>
      <c r="G219" s="299"/>
      <c r="H219" s="7"/>
      <c r="I219" s="7"/>
      <c r="J219" s="7"/>
      <c r="K219" s="7"/>
      <c r="L219" s="7"/>
      <c r="M219" s="7"/>
      <c r="N219" s="7"/>
    </row>
    <row r="220" spans="1:16">
      <c r="A220" s="9"/>
      <c r="B220" s="9"/>
      <c r="C220" s="9"/>
      <c r="D220" s="5"/>
      <c r="E220" s="5"/>
      <c r="F220" s="5"/>
      <c r="G220" s="5"/>
      <c r="H220" s="5"/>
      <c r="I220" s="5"/>
      <c r="J220" s="5"/>
      <c r="K220" s="5"/>
      <c r="L220" s="5"/>
      <c r="M220" s="5"/>
      <c r="N220" s="5"/>
    </row>
    <row r="221" spans="1:16" ht="16" thickBot="1">
      <c r="A221" s="9"/>
      <c r="B221" s="9"/>
      <c r="C221" s="9"/>
      <c r="D221" s="5"/>
      <c r="E221" s="5"/>
      <c r="F221" s="5"/>
      <c r="G221" s="5"/>
      <c r="H221" s="5"/>
      <c r="I221" s="5"/>
      <c r="J221" s="5"/>
      <c r="K221" s="5"/>
      <c r="L221" s="5"/>
      <c r="M221" s="5"/>
      <c r="N221" s="5"/>
    </row>
    <row r="222" spans="1:16" ht="33" customHeight="1" thickBot="1">
      <c r="A222" s="9"/>
      <c r="B222" s="9"/>
      <c r="C222" s="9"/>
      <c r="D222" s="353" t="s">
        <v>234</v>
      </c>
      <c r="E222" s="354"/>
      <c r="F222" s="45" t="s">
        <v>233</v>
      </c>
      <c r="G222" s="292" t="s">
        <v>235</v>
      </c>
      <c r="H222" s="292"/>
      <c r="I222" s="292"/>
      <c r="J222" s="292"/>
      <c r="K222" s="292"/>
      <c r="L222" s="292"/>
      <c r="M222" s="292"/>
      <c r="N222" s="292"/>
      <c r="O222" s="292"/>
      <c r="P222" s="292"/>
    </row>
    <row r="223" spans="1:16" ht="15" customHeight="1" thickBot="1">
      <c r="A223" s="9"/>
      <c r="B223" s="9"/>
      <c r="C223" s="9"/>
      <c r="D223" s="296" t="s">
        <v>236</v>
      </c>
      <c r="E223" s="298"/>
      <c r="F223" s="7"/>
      <c r="G223" s="7"/>
      <c r="H223" s="7"/>
      <c r="I223" s="7"/>
      <c r="J223" s="7"/>
      <c r="K223" s="7"/>
      <c r="L223" s="7"/>
      <c r="M223" s="7"/>
      <c r="N223" s="7"/>
    </row>
    <row r="224" spans="1:16">
      <c r="A224" s="84"/>
      <c r="B224" s="9"/>
      <c r="C224" s="9"/>
      <c r="D224" s="12" t="s">
        <v>238</v>
      </c>
      <c r="E224" s="41" t="s">
        <v>650</v>
      </c>
      <c r="F224" s="45" t="s">
        <v>237</v>
      </c>
      <c r="G224" s="18"/>
      <c r="H224" s="18"/>
      <c r="I224" s="18"/>
      <c r="J224" s="18"/>
      <c r="K224" s="18"/>
      <c r="L224" s="18"/>
      <c r="M224" s="18"/>
      <c r="N224" s="18"/>
      <c r="O224" s="18"/>
      <c r="P224" s="18"/>
    </row>
    <row r="225" spans="1:30" ht="16" thickBot="1">
      <c r="A225" s="84"/>
      <c r="B225" s="9"/>
      <c r="C225" s="9"/>
      <c r="D225" s="5"/>
      <c r="E225" s="7"/>
      <c r="F225" s="7"/>
      <c r="G225" s="7"/>
      <c r="H225" s="7"/>
      <c r="I225" s="7"/>
      <c r="J225" s="7"/>
      <c r="K225" s="7"/>
      <c r="L225" s="7"/>
      <c r="M225" s="7"/>
      <c r="N225" s="7"/>
    </row>
    <row r="226" spans="1:30" ht="15.5" customHeight="1">
      <c r="A226" s="84"/>
      <c r="B226" s="9"/>
      <c r="C226" s="9"/>
      <c r="D226" s="320" t="s">
        <v>240</v>
      </c>
      <c r="E226" s="322"/>
      <c r="F226" s="299" t="s">
        <v>239</v>
      </c>
      <c r="G226" s="7"/>
      <c r="H226" s="7"/>
      <c r="I226" s="7"/>
      <c r="J226" s="7"/>
      <c r="K226" s="7"/>
      <c r="L226" s="7"/>
      <c r="M226" s="7"/>
      <c r="N226" s="7"/>
    </row>
    <row r="227" spans="1:30">
      <c r="A227" s="9"/>
      <c r="B227" s="9"/>
      <c r="C227" s="9"/>
      <c r="D227" s="43" t="s">
        <v>241</v>
      </c>
      <c r="E227" s="147" t="s">
        <v>242</v>
      </c>
      <c r="F227" s="299"/>
      <c r="G227" s="7"/>
      <c r="H227" s="7"/>
      <c r="I227" s="7"/>
      <c r="J227" s="7"/>
      <c r="K227" s="7"/>
      <c r="L227" s="7"/>
      <c r="M227" s="7"/>
      <c r="N227" s="7"/>
    </row>
    <row r="228" spans="1:30" ht="21" customHeight="1" thickBot="1">
      <c r="A228" s="84" t="s">
        <v>674</v>
      </c>
      <c r="B228" s="9"/>
      <c r="C228" s="9"/>
      <c r="D228" s="107" t="s">
        <v>3</v>
      </c>
      <c r="E228" s="99" t="s">
        <v>3</v>
      </c>
      <c r="F228" s="299"/>
      <c r="G228" s="89"/>
      <c r="H228" s="7"/>
      <c r="I228" s="7"/>
      <c r="J228" s="7"/>
      <c r="K228" s="7"/>
      <c r="L228" s="7"/>
      <c r="M228" s="7"/>
      <c r="N228" s="7"/>
    </row>
    <row r="229" spans="1:30" ht="16" thickBot="1">
      <c r="A229" s="84" t="s">
        <v>3</v>
      </c>
    </row>
    <row r="230" spans="1:30" ht="16.5" customHeight="1" thickBot="1">
      <c r="A230" s="9"/>
      <c r="B230" s="9"/>
      <c r="C230" s="9"/>
      <c r="D230" s="296" t="s">
        <v>244</v>
      </c>
      <c r="E230" s="297"/>
      <c r="F230" s="297"/>
      <c r="G230" s="297"/>
      <c r="H230" s="297"/>
      <c r="I230" s="297"/>
      <c r="J230" s="297"/>
      <c r="K230" s="297"/>
      <c r="L230" s="297"/>
      <c r="M230" s="298"/>
      <c r="N230" s="45" t="s">
        <v>243</v>
      </c>
    </row>
    <row r="231" spans="1:30" ht="16" thickBot="1">
      <c r="A231" s="9"/>
      <c r="B231" s="9"/>
      <c r="C231" s="9"/>
      <c r="D231" s="303" t="s">
        <v>675</v>
      </c>
      <c r="E231" s="304"/>
      <c r="F231" s="304"/>
      <c r="G231" s="304"/>
      <c r="H231" s="304"/>
      <c r="I231" s="304"/>
      <c r="J231" s="304"/>
      <c r="K231" s="304"/>
      <c r="L231" s="304"/>
      <c r="M231" s="304"/>
    </row>
    <row r="232" spans="1:30" ht="16.5" customHeight="1" thickBot="1">
      <c r="A232" s="9"/>
      <c r="B232" s="9"/>
      <c r="C232" s="9"/>
      <c r="D232" s="156" t="s">
        <v>247</v>
      </c>
      <c r="E232" s="159" t="str">
        <f>+'1 MNE Group Information'!I40</f>
        <v>Nord Stream AG (Stateless Permanent Establishment Finland)</v>
      </c>
      <c r="F232" s="159"/>
      <c r="G232" s="159"/>
      <c r="H232" s="159"/>
      <c r="I232" s="159"/>
      <c r="J232" s="159"/>
      <c r="K232" s="159"/>
      <c r="L232" s="160"/>
      <c r="M232" s="157" t="s">
        <v>676</v>
      </c>
      <c r="N232" s="45" t="s">
        <v>245</v>
      </c>
      <c r="O232" s="45" t="s">
        <v>246</v>
      </c>
    </row>
    <row r="233" spans="1:30" ht="16.5" customHeight="1">
      <c r="A233" s="9"/>
      <c r="B233" s="9"/>
      <c r="C233" s="9"/>
      <c r="D233" s="153" t="s">
        <v>249</v>
      </c>
      <c r="E233" s="154">
        <f>+E271</f>
        <v>345432</v>
      </c>
      <c r="F233" s="154">
        <f t="shared" ref="F233:L233" si="3">+F271</f>
        <v>0</v>
      </c>
      <c r="G233" s="154">
        <f t="shared" si="3"/>
        <v>0</v>
      </c>
      <c r="H233" s="154">
        <f t="shared" si="3"/>
        <v>0</v>
      </c>
      <c r="I233" s="154">
        <f t="shared" si="3"/>
        <v>0</v>
      </c>
      <c r="J233" s="154">
        <f t="shared" si="3"/>
        <v>0</v>
      </c>
      <c r="K233" s="154">
        <f t="shared" si="3"/>
        <v>0</v>
      </c>
      <c r="L233" s="154">
        <f t="shared" si="3"/>
        <v>0</v>
      </c>
      <c r="M233" s="155">
        <f>SUM(E233:L233)</f>
        <v>345432</v>
      </c>
      <c r="N233" s="45" t="s">
        <v>19</v>
      </c>
      <c r="O233" s="45" t="s">
        <v>248</v>
      </c>
    </row>
    <row r="234" spans="1:30" ht="16.5" customHeight="1">
      <c r="A234" s="9"/>
      <c r="B234" s="9"/>
      <c r="C234" s="9"/>
      <c r="D234" s="300" t="s">
        <v>697</v>
      </c>
      <c r="E234" s="301"/>
      <c r="F234" s="301"/>
      <c r="G234" s="301"/>
      <c r="H234" s="301"/>
      <c r="I234" s="301"/>
      <c r="J234" s="301"/>
      <c r="K234" s="301"/>
      <c r="L234" s="301"/>
      <c r="M234" s="302"/>
      <c r="N234" s="45" t="s">
        <v>137</v>
      </c>
      <c r="O234" s="45"/>
    </row>
    <row r="235" spans="1:30" ht="84" customHeight="1">
      <c r="A235" s="9"/>
      <c r="B235" s="9"/>
      <c r="C235" s="9"/>
      <c r="D235" s="23" t="s">
        <v>484</v>
      </c>
      <c r="E235" s="42">
        <v>234567</v>
      </c>
      <c r="F235" s="42">
        <v>0</v>
      </c>
      <c r="G235" s="42">
        <v>0</v>
      </c>
      <c r="H235" s="42">
        <v>0</v>
      </c>
      <c r="I235" s="42">
        <v>0</v>
      </c>
      <c r="J235" s="42">
        <v>0</v>
      </c>
      <c r="K235" s="42">
        <v>0</v>
      </c>
      <c r="L235" s="42">
        <v>0</v>
      </c>
      <c r="M235" s="150">
        <f t="shared" ref="M235:M260" si="4">SUM(E235:L235)</f>
        <v>234567</v>
      </c>
      <c r="N235" s="45" t="s">
        <v>23</v>
      </c>
      <c r="O235" s="45" t="s">
        <v>677</v>
      </c>
      <c r="P235" s="289" t="s">
        <v>251</v>
      </c>
      <c r="Q235" s="290"/>
      <c r="R235" s="290"/>
      <c r="S235" s="290"/>
      <c r="T235" s="290"/>
      <c r="U235" s="290"/>
      <c r="V235" s="290"/>
      <c r="W235" s="290"/>
      <c r="X235" s="290"/>
      <c r="Y235" s="290"/>
      <c r="Z235" s="290"/>
      <c r="AA235" s="290"/>
      <c r="AB235" s="290"/>
      <c r="AC235" s="290"/>
      <c r="AD235" s="291"/>
    </row>
    <row r="236" spans="1:30" ht="31.5" customHeight="1">
      <c r="A236" s="9"/>
      <c r="B236" s="9"/>
      <c r="C236" s="9"/>
      <c r="D236" s="93" t="s">
        <v>485</v>
      </c>
      <c r="E236" s="42">
        <v>0</v>
      </c>
      <c r="F236" s="42">
        <v>0</v>
      </c>
      <c r="G236" s="42">
        <v>0</v>
      </c>
      <c r="H236" s="42">
        <v>0</v>
      </c>
      <c r="I236" s="42">
        <v>0</v>
      </c>
      <c r="J236" s="42">
        <v>0</v>
      </c>
      <c r="K236" s="42">
        <v>0</v>
      </c>
      <c r="L236" s="42">
        <v>0</v>
      </c>
      <c r="M236" s="150">
        <f t="shared" si="4"/>
        <v>0</v>
      </c>
      <c r="N236" s="45" t="s">
        <v>24</v>
      </c>
      <c r="O236" s="45" t="s">
        <v>678</v>
      </c>
      <c r="P236" s="289" t="s">
        <v>252</v>
      </c>
      <c r="Q236" s="290"/>
      <c r="R236" s="290"/>
      <c r="S236" s="290"/>
      <c r="T236" s="290"/>
      <c r="U236" s="290"/>
      <c r="V236" s="290"/>
      <c r="W236" s="290"/>
      <c r="X236" s="290"/>
      <c r="Y236" s="290"/>
      <c r="Z236" s="290"/>
      <c r="AA236" s="290"/>
      <c r="AB236" s="290"/>
      <c r="AC236" s="290"/>
      <c r="AD236" s="291"/>
    </row>
    <row r="237" spans="1:30" ht="34.5" customHeight="1">
      <c r="A237" s="9"/>
      <c r="B237" s="9"/>
      <c r="C237" s="9"/>
      <c r="D237" s="93" t="s">
        <v>486</v>
      </c>
      <c r="E237" s="42">
        <v>0</v>
      </c>
      <c r="F237" s="42">
        <v>0</v>
      </c>
      <c r="G237" s="42">
        <v>0</v>
      </c>
      <c r="H237" s="42">
        <v>0</v>
      </c>
      <c r="I237" s="42">
        <v>0</v>
      </c>
      <c r="J237" s="42">
        <v>0</v>
      </c>
      <c r="K237" s="42">
        <v>0</v>
      </c>
      <c r="L237" s="42">
        <v>0</v>
      </c>
      <c r="M237" s="150">
        <f t="shared" si="4"/>
        <v>0</v>
      </c>
      <c r="N237" s="45" t="s">
        <v>25</v>
      </c>
      <c r="O237" s="45" t="s">
        <v>679</v>
      </c>
      <c r="P237" s="289" t="s">
        <v>253</v>
      </c>
      <c r="Q237" s="290"/>
      <c r="R237" s="290"/>
      <c r="S237" s="290"/>
      <c r="T237" s="290"/>
      <c r="U237" s="290"/>
      <c r="V237" s="290"/>
      <c r="W237" s="290"/>
      <c r="X237" s="290"/>
      <c r="Y237" s="290"/>
      <c r="Z237" s="290"/>
      <c r="AA237" s="290"/>
      <c r="AB237" s="290"/>
      <c r="AC237" s="290"/>
      <c r="AD237" s="291"/>
    </row>
    <row r="238" spans="1:30" ht="16.5" customHeight="1">
      <c r="A238" s="9"/>
      <c r="B238" s="9"/>
      <c r="C238" s="9"/>
      <c r="D238" s="93" t="s">
        <v>487</v>
      </c>
      <c r="E238" s="42">
        <v>0</v>
      </c>
      <c r="F238" s="42">
        <v>0</v>
      </c>
      <c r="G238" s="42">
        <v>0</v>
      </c>
      <c r="H238" s="42">
        <v>0</v>
      </c>
      <c r="I238" s="42">
        <v>0</v>
      </c>
      <c r="J238" s="42">
        <v>0</v>
      </c>
      <c r="K238" s="42">
        <v>0</v>
      </c>
      <c r="L238" s="42">
        <v>0</v>
      </c>
      <c r="M238" s="150">
        <f t="shared" si="4"/>
        <v>0</v>
      </c>
      <c r="N238" s="45" t="s">
        <v>26</v>
      </c>
      <c r="O238" s="45" t="s">
        <v>680</v>
      </c>
      <c r="P238" s="289" t="s">
        <v>254</v>
      </c>
      <c r="Q238" s="290"/>
      <c r="R238" s="290"/>
      <c r="S238" s="290"/>
      <c r="T238" s="290"/>
      <c r="U238" s="290"/>
      <c r="V238" s="290"/>
      <c r="W238" s="290"/>
      <c r="X238" s="290"/>
      <c r="Y238" s="290"/>
      <c r="Z238" s="290"/>
      <c r="AA238" s="290"/>
      <c r="AB238" s="290"/>
      <c r="AC238" s="290"/>
      <c r="AD238" s="291"/>
    </row>
    <row r="239" spans="1:30" ht="36" customHeight="1">
      <c r="A239" s="9"/>
      <c r="B239" s="9"/>
      <c r="C239" s="9"/>
      <c r="D239" s="93" t="s">
        <v>488</v>
      </c>
      <c r="E239" s="42">
        <v>0</v>
      </c>
      <c r="F239" s="42">
        <v>0</v>
      </c>
      <c r="G239" s="42">
        <v>0</v>
      </c>
      <c r="H239" s="42">
        <v>0</v>
      </c>
      <c r="I239" s="42">
        <v>0</v>
      </c>
      <c r="J239" s="42">
        <v>0</v>
      </c>
      <c r="K239" s="42">
        <v>0</v>
      </c>
      <c r="L239" s="42">
        <v>0</v>
      </c>
      <c r="M239" s="150">
        <f t="shared" si="4"/>
        <v>0</v>
      </c>
      <c r="N239" s="45" t="s">
        <v>27</v>
      </c>
      <c r="O239" s="45" t="s">
        <v>255</v>
      </c>
      <c r="P239" s="289" t="s">
        <v>256</v>
      </c>
      <c r="Q239" s="290"/>
      <c r="R239" s="290"/>
      <c r="S239" s="290"/>
      <c r="T239" s="290"/>
      <c r="U239" s="290"/>
      <c r="V239" s="290"/>
      <c r="W239" s="290"/>
      <c r="X239" s="290"/>
      <c r="Y239" s="290"/>
      <c r="Z239" s="290"/>
      <c r="AA239" s="290"/>
      <c r="AB239" s="290"/>
      <c r="AC239" s="290"/>
      <c r="AD239" s="291"/>
    </row>
    <row r="240" spans="1:30" ht="36" customHeight="1">
      <c r="A240" s="9"/>
      <c r="B240" s="9"/>
      <c r="C240" s="9"/>
      <c r="D240" s="93" t="s">
        <v>489</v>
      </c>
      <c r="E240" s="42">
        <v>0</v>
      </c>
      <c r="F240" s="42">
        <v>0</v>
      </c>
      <c r="G240" s="42">
        <v>0</v>
      </c>
      <c r="H240" s="42">
        <v>0</v>
      </c>
      <c r="I240" s="42">
        <v>0</v>
      </c>
      <c r="J240" s="42">
        <v>0</v>
      </c>
      <c r="K240" s="42">
        <v>0</v>
      </c>
      <c r="L240" s="42">
        <v>0</v>
      </c>
      <c r="M240" s="150">
        <f t="shared" si="4"/>
        <v>0</v>
      </c>
      <c r="N240" s="45" t="s">
        <v>28</v>
      </c>
      <c r="O240" s="45" t="s">
        <v>681</v>
      </c>
      <c r="P240" s="289" t="s">
        <v>257</v>
      </c>
      <c r="Q240" s="290"/>
      <c r="R240" s="290"/>
      <c r="S240" s="290"/>
      <c r="T240" s="290"/>
      <c r="U240" s="290"/>
      <c r="V240" s="290"/>
      <c r="W240" s="290"/>
      <c r="X240" s="290"/>
      <c r="Y240" s="290"/>
      <c r="Z240" s="290"/>
      <c r="AA240" s="290"/>
      <c r="AB240" s="290"/>
      <c r="AC240" s="290"/>
      <c r="AD240" s="291"/>
    </row>
    <row r="241" spans="1:30" ht="101" customHeight="1">
      <c r="A241" s="9"/>
      <c r="B241" s="9"/>
      <c r="C241" s="9"/>
      <c r="D241" s="93" t="s">
        <v>490</v>
      </c>
      <c r="E241" s="42">
        <v>0</v>
      </c>
      <c r="F241" s="42">
        <v>0</v>
      </c>
      <c r="G241" s="42">
        <v>0</v>
      </c>
      <c r="H241" s="42">
        <v>0</v>
      </c>
      <c r="I241" s="42">
        <v>0</v>
      </c>
      <c r="J241" s="42">
        <v>0</v>
      </c>
      <c r="K241" s="42">
        <v>0</v>
      </c>
      <c r="L241" s="42">
        <v>0</v>
      </c>
      <c r="M241" s="150">
        <f t="shared" si="4"/>
        <v>0</v>
      </c>
      <c r="N241" s="45" t="s">
        <v>29</v>
      </c>
      <c r="O241" s="45" t="s">
        <v>682</v>
      </c>
      <c r="P241" s="289" t="s">
        <v>258</v>
      </c>
      <c r="Q241" s="290"/>
      <c r="R241" s="290"/>
      <c r="S241" s="290"/>
      <c r="T241" s="290"/>
      <c r="U241" s="290"/>
      <c r="V241" s="290"/>
      <c r="W241" s="290"/>
      <c r="X241" s="290"/>
      <c r="Y241" s="290"/>
      <c r="Z241" s="290"/>
      <c r="AA241" s="290"/>
      <c r="AB241" s="290"/>
      <c r="AC241" s="290"/>
      <c r="AD241" s="291"/>
    </row>
    <row r="242" spans="1:30" ht="16.5" customHeight="1">
      <c r="A242" s="9"/>
      <c r="B242" s="9"/>
      <c r="C242" s="9"/>
      <c r="D242" s="93" t="s">
        <v>491</v>
      </c>
      <c r="E242" s="42">
        <v>0</v>
      </c>
      <c r="F242" s="42">
        <v>0</v>
      </c>
      <c r="G242" s="42">
        <v>0</v>
      </c>
      <c r="H242" s="42">
        <v>0</v>
      </c>
      <c r="I242" s="42">
        <v>0</v>
      </c>
      <c r="J242" s="42">
        <v>0</v>
      </c>
      <c r="K242" s="42">
        <v>0</v>
      </c>
      <c r="L242" s="42">
        <v>0</v>
      </c>
      <c r="M242" s="150">
        <f t="shared" si="4"/>
        <v>0</v>
      </c>
      <c r="N242" s="45" t="s">
        <v>30</v>
      </c>
      <c r="O242" s="45" t="s">
        <v>683</v>
      </c>
      <c r="P242" s="289" t="s">
        <v>259</v>
      </c>
      <c r="Q242" s="290"/>
      <c r="R242" s="290"/>
      <c r="S242" s="290"/>
      <c r="T242" s="290"/>
      <c r="U242" s="290"/>
      <c r="V242" s="290"/>
      <c r="W242" s="290"/>
      <c r="X242" s="290"/>
      <c r="Y242" s="290"/>
      <c r="Z242" s="290"/>
      <c r="AA242" s="290"/>
      <c r="AB242" s="290"/>
      <c r="AC242" s="290"/>
      <c r="AD242" s="291"/>
    </row>
    <row r="243" spans="1:30" ht="16.5" customHeight="1">
      <c r="A243" s="9"/>
      <c r="B243" s="9"/>
      <c r="C243" s="9"/>
      <c r="D243" s="93" t="s">
        <v>492</v>
      </c>
      <c r="E243" s="42">
        <v>0</v>
      </c>
      <c r="F243" s="42">
        <v>0</v>
      </c>
      <c r="G243" s="42">
        <v>0</v>
      </c>
      <c r="H243" s="42">
        <v>0</v>
      </c>
      <c r="I243" s="42">
        <v>0</v>
      </c>
      <c r="J243" s="42">
        <v>0</v>
      </c>
      <c r="K243" s="42">
        <v>0</v>
      </c>
      <c r="L243" s="42">
        <v>0</v>
      </c>
      <c r="M243" s="150">
        <f t="shared" si="4"/>
        <v>0</v>
      </c>
      <c r="N243" s="45" t="s">
        <v>31</v>
      </c>
      <c r="O243" s="45" t="s">
        <v>684</v>
      </c>
      <c r="P243" s="289" t="s">
        <v>260</v>
      </c>
      <c r="Q243" s="290"/>
      <c r="R243" s="290"/>
      <c r="S243" s="290"/>
      <c r="T243" s="290"/>
      <c r="U243" s="290"/>
      <c r="V243" s="290"/>
      <c r="W243" s="290"/>
      <c r="X243" s="290"/>
      <c r="Y243" s="290"/>
      <c r="Z243" s="290"/>
      <c r="AA243" s="290"/>
      <c r="AB243" s="290"/>
      <c r="AC243" s="290"/>
      <c r="AD243" s="291"/>
    </row>
    <row r="244" spans="1:30" ht="29.5" customHeight="1">
      <c r="A244" s="9"/>
      <c r="B244" s="9"/>
      <c r="C244" s="9"/>
      <c r="D244" s="93" t="s">
        <v>493</v>
      </c>
      <c r="E244" s="42">
        <v>0</v>
      </c>
      <c r="F244" s="42">
        <v>0</v>
      </c>
      <c r="G244" s="42">
        <v>0</v>
      </c>
      <c r="H244" s="42">
        <v>0</v>
      </c>
      <c r="I244" s="42">
        <v>0</v>
      </c>
      <c r="J244" s="42">
        <v>0</v>
      </c>
      <c r="K244" s="42">
        <v>0</v>
      </c>
      <c r="L244" s="42">
        <v>0</v>
      </c>
      <c r="M244" s="150">
        <f t="shared" si="4"/>
        <v>0</v>
      </c>
      <c r="N244" s="45" t="s">
        <v>32</v>
      </c>
      <c r="O244" s="45" t="s">
        <v>685</v>
      </c>
      <c r="P244" s="289" t="s">
        <v>261</v>
      </c>
      <c r="Q244" s="290"/>
      <c r="R244" s="290"/>
      <c r="S244" s="290"/>
      <c r="T244" s="290"/>
      <c r="U244" s="290"/>
      <c r="V244" s="290"/>
      <c r="W244" s="290"/>
      <c r="X244" s="290"/>
      <c r="Y244" s="290"/>
      <c r="Z244" s="290"/>
      <c r="AA244" s="290"/>
      <c r="AB244" s="290"/>
      <c r="AC244" s="290"/>
      <c r="AD244" s="291"/>
    </row>
    <row r="245" spans="1:30" ht="33.5" customHeight="1">
      <c r="A245" s="9"/>
      <c r="B245" s="9"/>
      <c r="C245" s="9"/>
      <c r="D245" s="93" t="s">
        <v>494</v>
      </c>
      <c r="E245" s="42">
        <v>0</v>
      </c>
      <c r="F245" s="42">
        <v>0</v>
      </c>
      <c r="G245" s="42">
        <v>0</v>
      </c>
      <c r="H245" s="42">
        <v>0</v>
      </c>
      <c r="I245" s="42">
        <v>0</v>
      </c>
      <c r="J245" s="42">
        <v>0</v>
      </c>
      <c r="K245" s="42">
        <v>0</v>
      </c>
      <c r="L245" s="42">
        <v>0</v>
      </c>
      <c r="M245" s="150">
        <f t="shared" si="4"/>
        <v>0</v>
      </c>
      <c r="N245" s="45" t="s">
        <v>33</v>
      </c>
      <c r="O245" s="45" t="s">
        <v>686</v>
      </c>
      <c r="P245" s="289" t="s">
        <v>262</v>
      </c>
      <c r="Q245" s="290"/>
      <c r="R245" s="290"/>
      <c r="S245" s="290"/>
      <c r="T245" s="290"/>
      <c r="U245" s="290"/>
      <c r="V245" s="290"/>
      <c r="W245" s="290"/>
      <c r="X245" s="290"/>
      <c r="Y245" s="290"/>
      <c r="Z245" s="290"/>
      <c r="AA245" s="290"/>
      <c r="AB245" s="290"/>
      <c r="AC245" s="290"/>
      <c r="AD245" s="291"/>
    </row>
    <row r="246" spans="1:30" ht="16.5" customHeight="1">
      <c r="A246" s="9"/>
      <c r="B246" s="9"/>
      <c r="C246" s="9"/>
      <c r="D246" s="93" t="s">
        <v>496</v>
      </c>
      <c r="E246" s="42">
        <v>0</v>
      </c>
      <c r="F246" s="42">
        <v>0</v>
      </c>
      <c r="G246" s="42">
        <v>0</v>
      </c>
      <c r="H246" s="42">
        <v>0</v>
      </c>
      <c r="I246" s="42">
        <v>0</v>
      </c>
      <c r="J246" s="42">
        <v>0</v>
      </c>
      <c r="K246" s="42">
        <v>0</v>
      </c>
      <c r="L246" s="42">
        <v>0</v>
      </c>
      <c r="M246" s="150">
        <f t="shared" si="4"/>
        <v>0</v>
      </c>
      <c r="N246" s="45" t="s">
        <v>34</v>
      </c>
      <c r="O246" s="45" t="s">
        <v>687</v>
      </c>
      <c r="P246" s="14"/>
    </row>
    <row r="247" spans="1:30" ht="16.5" customHeight="1">
      <c r="A247" s="9"/>
      <c r="B247" s="9"/>
      <c r="C247" s="9"/>
      <c r="D247" s="93" t="s">
        <v>495</v>
      </c>
      <c r="E247" s="42">
        <v>0</v>
      </c>
      <c r="F247" s="42">
        <v>0</v>
      </c>
      <c r="G247" s="42">
        <v>0</v>
      </c>
      <c r="H247" s="42">
        <v>0</v>
      </c>
      <c r="I247" s="42">
        <v>0</v>
      </c>
      <c r="J247" s="42">
        <v>0</v>
      </c>
      <c r="K247" s="42">
        <v>0</v>
      </c>
      <c r="L247" s="42">
        <v>0</v>
      </c>
      <c r="M247" s="150">
        <f t="shared" si="4"/>
        <v>0</v>
      </c>
      <c r="N247" s="45" t="s">
        <v>35</v>
      </c>
      <c r="O247" s="45" t="s">
        <v>264</v>
      </c>
      <c r="P247" s="289" t="s">
        <v>265</v>
      </c>
      <c r="Q247" s="290"/>
      <c r="R247" s="290"/>
      <c r="S247" s="290"/>
      <c r="T247" s="290"/>
      <c r="U247" s="290"/>
      <c r="V247" s="290"/>
      <c r="W247" s="290"/>
      <c r="X247" s="290"/>
      <c r="Y247" s="290"/>
      <c r="Z247" s="290"/>
      <c r="AA247" s="290"/>
      <c r="AB247" s="290"/>
      <c r="AC247" s="290"/>
      <c r="AD247" s="291"/>
    </row>
    <row r="248" spans="1:30" ht="33" customHeight="1">
      <c r="A248" s="9"/>
      <c r="B248" s="9"/>
      <c r="C248" s="9"/>
      <c r="D248" s="93" t="s">
        <v>698</v>
      </c>
      <c r="E248" s="42">
        <v>0</v>
      </c>
      <c r="F248" s="42">
        <v>0</v>
      </c>
      <c r="G248" s="42">
        <v>0</v>
      </c>
      <c r="H248" s="42">
        <v>0</v>
      </c>
      <c r="I248" s="42">
        <v>0</v>
      </c>
      <c r="J248" s="42">
        <v>0</v>
      </c>
      <c r="K248" s="42">
        <v>0</v>
      </c>
      <c r="L248" s="42">
        <v>0</v>
      </c>
      <c r="M248" s="150">
        <f t="shared" si="4"/>
        <v>0</v>
      </c>
      <c r="N248" s="45" t="s">
        <v>36</v>
      </c>
      <c r="O248" s="45" t="s">
        <v>266</v>
      </c>
      <c r="P248" s="289" t="s">
        <v>267</v>
      </c>
      <c r="Q248" s="290"/>
      <c r="R248" s="290"/>
      <c r="S248" s="290"/>
      <c r="T248" s="290"/>
      <c r="U248" s="290"/>
      <c r="V248" s="290"/>
      <c r="W248" s="290"/>
      <c r="X248" s="290"/>
      <c r="Y248" s="290"/>
      <c r="Z248" s="290"/>
      <c r="AA248" s="290"/>
      <c r="AB248" s="290"/>
      <c r="AC248" s="290"/>
      <c r="AD248" s="291"/>
    </row>
    <row r="249" spans="1:30" ht="16.5" customHeight="1">
      <c r="A249" s="9"/>
      <c r="B249" s="9"/>
      <c r="C249" s="9"/>
      <c r="D249" s="93" t="s">
        <v>498</v>
      </c>
      <c r="E249" s="42">
        <v>0</v>
      </c>
      <c r="F249" s="42">
        <v>0</v>
      </c>
      <c r="G249" s="42">
        <v>0</v>
      </c>
      <c r="H249" s="42">
        <v>0</v>
      </c>
      <c r="I249" s="42">
        <v>0</v>
      </c>
      <c r="J249" s="42">
        <v>0</v>
      </c>
      <c r="K249" s="42">
        <v>0</v>
      </c>
      <c r="L249" s="42">
        <v>0</v>
      </c>
      <c r="M249" s="150">
        <f t="shared" si="4"/>
        <v>0</v>
      </c>
      <c r="N249" s="45" t="s">
        <v>37</v>
      </c>
      <c r="O249" s="45" t="s">
        <v>688</v>
      </c>
      <c r="P249" s="14"/>
    </row>
    <row r="250" spans="1:30" ht="16.5" customHeight="1">
      <c r="A250" s="9"/>
      <c r="B250" s="9"/>
      <c r="C250" s="9"/>
      <c r="D250" s="93" t="s">
        <v>499</v>
      </c>
      <c r="E250" s="42">
        <v>0</v>
      </c>
      <c r="F250" s="42">
        <v>0</v>
      </c>
      <c r="G250" s="42">
        <v>0</v>
      </c>
      <c r="H250" s="42">
        <v>0</v>
      </c>
      <c r="I250" s="42">
        <v>0</v>
      </c>
      <c r="J250" s="42">
        <v>0</v>
      </c>
      <c r="K250" s="42">
        <v>0</v>
      </c>
      <c r="L250" s="42">
        <v>0</v>
      </c>
      <c r="M250" s="150">
        <f t="shared" si="4"/>
        <v>0</v>
      </c>
      <c r="N250" s="45" t="s">
        <v>38</v>
      </c>
      <c r="O250" s="45" t="s">
        <v>689</v>
      </c>
      <c r="P250" s="14"/>
    </row>
    <row r="251" spans="1:30" ht="36" customHeight="1">
      <c r="A251" s="9"/>
      <c r="B251" s="9"/>
      <c r="C251" s="9"/>
      <c r="D251" s="93" t="s">
        <v>500</v>
      </c>
      <c r="E251" s="42">
        <v>0</v>
      </c>
      <c r="F251" s="42">
        <v>0</v>
      </c>
      <c r="G251" s="42">
        <v>0</v>
      </c>
      <c r="H251" s="42">
        <v>0</v>
      </c>
      <c r="I251" s="42">
        <v>0</v>
      </c>
      <c r="J251" s="42">
        <v>0</v>
      </c>
      <c r="K251" s="42">
        <v>0</v>
      </c>
      <c r="L251" s="42">
        <v>0</v>
      </c>
      <c r="M251" s="150">
        <f t="shared" si="4"/>
        <v>0</v>
      </c>
      <c r="N251" s="45" t="s">
        <v>39</v>
      </c>
      <c r="O251" s="45" t="s">
        <v>690</v>
      </c>
      <c r="P251" s="289" t="s">
        <v>268</v>
      </c>
      <c r="Q251" s="290"/>
      <c r="R251" s="290"/>
      <c r="S251" s="290"/>
      <c r="T251" s="290"/>
      <c r="U251" s="290"/>
      <c r="V251" s="290"/>
      <c r="W251" s="290"/>
      <c r="X251" s="290"/>
      <c r="Y251" s="290"/>
      <c r="Z251" s="290"/>
      <c r="AA251" s="290"/>
      <c r="AB251" s="290"/>
      <c r="AC251" s="290"/>
      <c r="AD251" s="291"/>
    </row>
    <row r="252" spans="1:30" ht="30" customHeight="1">
      <c r="A252" s="9"/>
      <c r="B252" s="9"/>
      <c r="C252" s="9"/>
      <c r="D252" s="93" t="s">
        <v>501</v>
      </c>
      <c r="E252" s="42">
        <v>0</v>
      </c>
      <c r="F252" s="42">
        <v>0</v>
      </c>
      <c r="G252" s="42">
        <v>0</v>
      </c>
      <c r="H252" s="42">
        <v>0</v>
      </c>
      <c r="I252" s="42">
        <v>0</v>
      </c>
      <c r="J252" s="42">
        <v>0</v>
      </c>
      <c r="K252" s="42">
        <v>0</v>
      </c>
      <c r="L252" s="42">
        <v>0</v>
      </c>
      <c r="M252" s="150">
        <f t="shared" si="4"/>
        <v>0</v>
      </c>
      <c r="N252" s="45" t="s">
        <v>40</v>
      </c>
      <c r="O252" s="45" t="s">
        <v>691</v>
      </c>
      <c r="P252" s="289" t="s">
        <v>269</v>
      </c>
      <c r="Q252" s="290"/>
      <c r="R252" s="290"/>
      <c r="S252" s="290"/>
      <c r="T252" s="290"/>
      <c r="U252" s="290"/>
      <c r="V252" s="290"/>
      <c r="W252" s="290"/>
      <c r="X252" s="290"/>
      <c r="Y252" s="290"/>
      <c r="Z252" s="290"/>
      <c r="AA252" s="290"/>
      <c r="AB252" s="290"/>
      <c r="AC252" s="290"/>
      <c r="AD252" s="291"/>
    </row>
    <row r="253" spans="1:30" ht="16.5" customHeight="1">
      <c r="A253" s="9"/>
      <c r="B253" s="9"/>
      <c r="C253" s="9"/>
      <c r="D253" s="93" t="s">
        <v>502</v>
      </c>
      <c r="E253" s="42">
        <v>0</v>
      </c>
      <c r="F253" s="42">
        <v>0</v>
      </c>
      <c r="G253" s="42">
        <v>0</v>
      </c>
      <c r="H253" s="42">
        <v>0</v>
      </c>
      <c r="I253" s="42">
        <v>0</v>
      </c>
      <c r="J253" s="42">
        <v>0</v>
      </c>
      <c r="K253" s="42">
        <v>0</v>
      </c>
      <c r="L253" s="42">
        <v>0</v>
      </c>
      <c r="M253" s="150">
        <f t="shared" si="4"/>
        <v>0</v>
      </c>
      <c r="N253" s="45" t="s">
        <v>41</v>
      </c>
      <c r="O253" s="45" t="s">
        <v>692</v>
      </c>
      <c r="P253" s="289" t="s">
        <v>270</v>
      </c>
      <c r="Q253" s="290"/>
      <c r="R253" s="290"/>
      <c r="S253" s="290"/>
      <c r="T253" s="290"/>
      <c r="U253" s="290"/>
      <c r="V253" s="290"/>
      <c r="W253" s="290"/>
      <c r="X253" s="290"/>
      <c r="Y253" s="290"/>
      <c r="Z253" s="290"/>
      <c r="AA253" s="290"/>
      <c r="AB253" s="290"/>
      <c r="AC253" s="290"/>
      <c r="AD253" s="291"/>
    </row>
    <row r="254" spans="1:30" ht="31" customHeight="1">
      <c r="A254" s="9"/>
      <c r="B254" s="9"/>
      <c r="C254" s="9"/>
      <c r="D254" s="141" t="s">
        <v>503</v>
      </c>
      <c r="E254" s="42">
        <v>0</v>
      </c>
      <c r="F254" s="42">
        <v>0</v>
      </c>
      <c r="G254" s="42">
        <v>0</v>
      </c>
      <c r="H254" s="42">
        <v>0</v>
      </c>
      <c r="I254" s="42">
        <v>0</v>
      </c>
      <c r="J254" s="42">
        <v>0</v>
      </c>
      <c r="K254" s="42">
        <v>0</v>
      </c>
      <c r="L254" s="42">
        <v>0</v>
      </c>
      <c r="M254" s="150">
        <f t="shared" si="4"/>
        <v>0</v>
      </c>
      <c r="N254" s="45" t="s">
        <v>42</v>
      </c>
      <c r="O254" s="45" t="s">
        <v>693</v>
      </c>
      <c r="P254" s="289" t="s">
        <v>271</v>
      </c>
      <c r="Q254" s="290"/>
      <c r="R254" s="290"/>
      <c r="S254" s="290"/>
      <c r="T254" s="290"/>
      <c r="U254" s="290"/>
      <c r="V254" s="290"/>
      <c r="W254" s="290"/>
      <c r="X254" s="290"/>
      <c r="Y254" s="290"/>
      <c r="Z254" s="290"/>
      <c r="AA254" s="290"/>
      <c r="AB254" s="290"/>
      <c r="AC254" s="290"/>
      <c r="AD254" s="291"/>
    </row>
    <row r="255" spans="1:30" ht="33.5" customHeight="1">
      <c r="A255" s="9"/>
      <c r="B255" s="9"/>
      <c r="C255" s="9"/>
      <c r="D255" s="93" t="s">
        <v>504</v>
      </c>
      <c r="E255" s="42">
        <v>0</v>
      </c>
      <c r="F255" s="42">
        <v>0</v>
      </c>
      <c r="G255" s="42">
        <v>0</v>
      </c>
      <c r="H255" s="42">
        <v>0</v>
      </c>
      <c r="I255" s="42">
        <v>0</v>
      </c>
      <c r="J255" s="42">
        <v>0</v>
      </c>
      <c r="K255" s="42">
        <v>0</v>
      </c>
      <c r="L255" s="42">
        <v>0</v>
      </c>
      <c r="M255" s="150">
        <f t="shared" si="4"/>
        <v>0</v>
      </c>
      <c r="N255" s="45" t="s">
        <v>43</v>
      </c>
      <c r="O255" s="45" t="s">
        <v>272</v>
      </c>
      <c r="P255" s="289" t="s">
        <v>273</v>
      </c>
      <c r="Q255" s="290"/>
      <c r="R255" s="290"/>
      <c r="S255" s="290"/>
      <c r="T255" s="290"/>
      <c r="U255" s="290"/>
      <c r="V255" s="290"/>
      <c r="W255" s="290"/>
      <c r="X255" s="290"/>
      <c r="Y255" s="290"/>
      <c r="Z255" s="290"/>
      <c r="AA255" s="290"/>
      <c r="AB255" s="290"/>
      <c r="AC255" s="290"/>
      <c r="AD255" s="291"/>
    </row>
    <row r="256" spans="1:30" ht="16.5" customHeight="1">
      <c r="A256" s="9"/>
      <c r="B256" s="9"/>
      <c r="C256" s="9"/>
      <c r="D256" s="93" t="s">
        <v>505</v>
      </c>
      <c r="E256" s="42">
        <v>0</v>
      </c>
      <c r="F256" s="42">
        <v>0</v>
      </c>
      <c r="G256" s="42">
        <v>0</v>
      </c>
      <c r="H256" s="42">
        <v>0</v>
      </c>
      <c r="I256" s="42">
        <v>0</v>
      </c>
      <c r="J256" s="42">
        <v>0</v>
      </c>
      <c r="K256" s="42">
        <v>0</v>
      </c>
      <c r="L256" s="42">
        <v>0</v>
      </c>
      <c r="M256" s="150">
        <f t="shared" si="4"/>
        <v>0</v>
      </c>
      <c r="N256" s="45" t="s">
        <v>44</v>
      </c>
      <c r="O256" s="45" t="s">
        <v>274</v>
      </c>
      <c r="P256" s="14"/>
    </row>
    <row r="257" spans="1:30" ht="30.5" customHeight="1">
      <c r="A257" s="9"/>
      <c r="B257" s="9"/>
      <c r="C257" s="9"/>
      <c r="D257" s="93" t="s">
        <v>506</v>
      </c>
      <c r="E257" s="42">
        <v>0</v>
      </c>
      <c r="F257" s="42">
        <v>0</v>
      </c>
      <c r="G257" s="42">
        <v>0</v>
      </c>
      <c r="H257" s="42">
        <v>0</v>
      </c>
      <c r="I257" s="42">
        <v>0</v>
      </c>
      <c r="J257" s="42">
        <v>0</v>
      </c>
      <c r="K257" s="42">
        <v>0</v>
      </c>
      <c r="L257" s="42">
        <v>0</v>
      </c>
      <c r="M257" s="150">
        <f>SUM(E257:L257)</f>
        <v>0</v>
      </c>
      <c r="N257" s="45" t="s">
        <v>45</v>
      </c>
      <c r="O257" s="45" t="s">
        <v>694</v>
      </c>
      <c r="P257" s="289" t="s">
        <v>275</v>
      </c>
      <c r="Q257" s="290"/>
      <c r="R257" s="290"/>
      <c r="S257" s="290"/>
      <c r="T257" s="290"/>
      <c r="U257" s="290"/>
      <c r="V257" s="290"/>
      <c r="W257" s="290"/>
      <c r="X257" s="290"/>
      <c r="Y257" s="290"/>
      <c r="Z257" s="290"/>
      <c r="AA257" s="290"/>
      <c r="AB257" s="290"/>
      <c r="AC257" s="290"/>
      <c r="AD257" s="291"/>
    </row>
    <row r="258" spans="1:30" ht="65" customHeight="1">
      <c r="A258" s="9"/>
      <c r="B258" s="9"/>
      <c r="C258" s="9"/>
      <c r="D258" s="93" t="s">
        <v>507</v>
      </c>
      <c r="E258" s="42">
        <v>0</v>
      </c>
      <c r="F258" s="42">
        <v>0</v>
      </c>
      <c r="G258" s="42">
        <v>0</v>
      </c>
      <c r="H258" s="42">
        <v>0</v>
      </c>
      <c r="I258" s="42">
        <v>0</v>
      </c>
      <c r="J258" s="42">
        <v>0</v>
      </c>
      <c r="K258" s="42">
        <v>0</v>
      </c>
      <c r="L258" s="42">
        <v>0</v>
      </c>
      <c r="M258" s="150">
        <f t="shared" si="4"/>
        <v>0</v>
      </c>
      <c r="N258" s="45" t="s">
        <v>46</v>
      </c>
      <c r="O258" s="45" t="s">
        <v>695</v>
      </c>
      <c r="P258" s="289" t="s">
        <v>276</v>
      </c>
      <c r="Q258" s="290"/>
      <c r="R258" s="290"/>
      <c r="S258" s="290"/>
      <c r="T258" s="290"/>
      <c r="U258" s="290"/>
      <c r="V258" s="290"/>
      <c r="W258" s="290"/>
      <c r="X258" s="290"/>
      <c r="Y258" s="290"/>
      <c r="Z258" s="290"/>
      <c r="AA258" s="290"/>
      <c r="AB258" s="290"/>
      <c r="AC258" s="290"/>
      <c r="AD258" s="291"/>
    </row>
    <row r="259" spans="1:30" ht="16.5" customHeight="1">
      <c r="A259" s="9"/>
      <c r="B259" s="9"/>
      <c r="C259" s="9"/>
      <c r="D259" s="93" t="s">
        <v>699</v>
      </c>
      <c r="E259" s="42">
        <v>0</v>
      </c>
      <c r="F259" s="42">
        <v>0</v>
      </c>
      <c r="G259" s="42">
        <v>0</v>
      </c>
      <c r="H259" s="42">
        <v>0</v>
      </c>
      <c r="I259" s="42">
        <v>0</v>
      </c>
      <c r="J259" s="42">
        <v>0</v>
      </c>
      <c r="K259" s="42">
        <v>0</v>
      </c>
      <c r="L259" s="42">
        <v>0</v>
      </c>
      <c r="M259" s="150">
        <f t="shared" si="4"/>
        <v>0</v>
      </c>
      <c r="N259" s="45" t="s">
        <v>47</v>
      </c>
      <c r="O259" s="45" t="s">
        <v>696</v>
      </c>
      <c r="P259" s="289" t="s">
        <v>277</v>
      </c>
      <c r="Q259" s="290"/>
      <c r="R259" s="290"/>
      <c r="S259" s="290"/>
      <c r="T259" s="290"/>
      <c r="U259" s="290"/>
      <c r="V259" s="290"/>
      <c r="W259" s="290"/>
      <c r="X259" s="290"/>
      <c r="Y259" s="290"/>
      <c r="Z259" s="290"/>
      <c r="AA259" s="290"/>
      <c r="AB259" s="290"/>
      <c r="AC259" s="290"/>
      <c r="AD259" s="291"/>
    </row>
    <row r="260" spans="1:30" ht="80.5" customHeight="1">
      <c r="A260" s="9"/>
      <c r="B260" s="9"/>
      <c r="C260" s="9"/>
      <c r="D260" s="93" t="s">
        <v>509</v>
      </c>
      <c r="E260" s="42">
        <v>0</v>
      </c>
      <c r="F260" s="42">
        <v>0</v>
      </c>
      <c r="G260" s="42">
        <v>0</v>
      </c>
      <c r="H260" s="42">
        <v>0</v>
      </c>
      <c r="I260" s="42">
        <v>0</v>
      </c>
      <c r="J260" s="42">
        <v>0</v>
      </c>
      <c r="K260" s="42">
        <v>0</v>
      </c>
      <c r="L260" s="42">
        <v>0</v>
      </c>
      <c r="M260" s="150">
        <f t="shared" si="4"/>
        <v>0</v>
      </c>
      <c r="N260" s="45" t="s">
        <v>48</v>
      </c>
      <c r="O260" s="45" t="s">
        <v>278</v>
      </c>
      <c r="P260" s="289" t="s">
        <v>279</v>
      </c>
      <c r="Q260" s="290"/>
      <c r="R260" s="290"/>
      <c r="S260" s="290"/>
      <c r="T260" s="290"/>
      <c r="U260" s="290"/>
      <c r="V260" s="290"/>
      <c r="W260" s="290"/>
      <c r="X260" s="290"/>
      <c r="Y260" s="290"/>
      <c r="Z260" s="290"/>
      <c r="AA260" s="290"/>
      <c r="AB260" s="290"/>
      <c r="AC260" s="290"/>
      <c r="AD260" s="291"/>
    </row>
    <row r="261" spans="1:30" ht="16.5" customHeight="1" thickBot="1">
      <c r="A261" s="9"/>
      <c r="B261" s="9"/>
      <c r="C261" s="9"/>
      <c r="D261" s="158" t="s">
        <v>281</v>
      </c>
      <c r="E261" s="151">
        <f>E233+SUM(E235:E260)</f>
        <v>579999</v>
      </c>
      <c r="F261" s="151">
        <f t="shared" ref="F261:M261" si="5">F233+SUM(F235:F260)</f>
        <v>0</v>
      </c>
      <c r="G261" s="151">
        <f t="shared" si="5"/>
        <v>0</v>
      </c>
      <c r="H261" s="151">
        <f t="shared" si="5"/>
        <v>0</v>
      </c>
      <c r="I261" s="151">
        <f t="shared" si="5"/>
        <v>0</v>
      </c>
      <c r="J261" s="151">
        <f t="shared" si="5"/>
        <v>0</v>
      </c>
      <c r="K261" s="151">
        <f t="shared" si="5"/>
        <v>0</v>
      </c>
      <c r="L261" s="151">
        <f t="shared" si="5"/>
        <v>0</v>
      </c>
      <c r="M261" s="152">
        <f t="shared" si="5"/>
        <v>579999</v>
      </c>
      <c r="N261" s="45" t="s">
        <v>10</v>
      </c>
      <c r="O261" s="45" t="s">
        <v>280</v>
      </c>
    </row>
    <row r="262" spans="1:30" ht="16.5" customHeight="1" thickBot="1">
      <c r="A262" s="9"/>
      <c r="B262" s="9"/>
      <c r="C262" s="9"/>
      <c r="L262" s="7"/>
      <c r="M262" s="7"/>
      <c r="N262" s="7"/>
    </row>
    <row r="263" spans="1:30" ht="16" thickBot="1">
      <c r="A263" s="9"/>
      <c r="B263" s="9"/>
      <c r="C263" s="9"/>
      <c r="D263" s="303" t="s">
        <v>284</v>
      </c>
      <c r="E263" s="304" t="s">
        <v>102</v>
      </c>
      <c r="F263" s="304"/>
      <c r="G263" s="304"/>
      <c r="H263" s="304"/>
      <c r="I263" s="304"/>
      <c r="J263" s="304"/>
      <c r="K263" s="304"/>
      <c r="L263" s="304"/>
      <c r="M263" s="305"/>
      <c r="N263" s="45" t="s">
        <v>282</v>
      </c>
      <c r="O263" s="45" t="s">
        <v>283</v>
      </c>
    </row>
    <row r="264" spans="1:30" ht="16.5" customHeight="1">
      <c r="A264" s="9"/>
      <c r="B264" s="9"/>
      <c r="C264" s="9"/>
      <c r="D264" s="165" t="s">
        <v>286</v>
      </c>
      <c r="E264" s="166" t="str">
        <f>+E232</f>
        <v>Nord Stream AG (Stateless Permanent Establishment Finland)</v>
      </c>
      <c r="F264" s="166">
        <f t="shared" ref="F264:L264" si="6">+F232</f>
        <v>0</v>
      </c>
      <c r="G264" s="166">
        <f t="shared" si="6"/>
        <v>0</v>
      </c>
      <c r="H264" s="166">
        <f t="shared" si="6"/>
        <v>0</v>
      </c>
      <c r="I264" s="166">
        <f t="shared" si="6"/>
        <v>0</v>
      </c>
      <c r="J264" s="166">
        <f t="shared" si="6"/>
        <v>0</v>
      </c>
      <c r="K264" s="166">
        <f t="shared" si="6"/>
        <v>0</v>
      </c>
      <c r="L264" s="166">
        <f t="shared" si="6"/>
        <v>0</v>
      </c>
      <c r="M264" s="167" t="str">
        <f>+M232</f>
        <v>Total amount</v>
      </c>
      <c r="N264" s="45" t="s">
        <v>245</v>
      </c>
      <c r="O264" s="45" t="s">
        <v>285</v>
      </c>
    </row>
    <row r="265" spans="1:30" ht="48" customHeight="1">
      <c r="A265" s="9"/>
      <c r="B265" s="9"/>
      <c r="C265" s="9"/>
      <c r="D265" s="161" t="s">
        <v>700</v>
      </c>
      <c r="E265" s="42">
        <v>345432</v>
      </c>
      <c r="F265" s="42">
        <v>0</v>
      </c>
      <c r="G265" s="42">
        <v>0</v>
      </c>
      <c r="H265" s="42">
        <v>0</v>
      </c>
      <c r="I265" s="42">
        <v>0</v>
      </c>
      <c r="J265" s="42">
        <v>0</v>
      </c>
      <c r="K265" s="42">
        <v>0</v>
      </c>
      <c r="L265" s="42">
        <v>0</v>
      </c>
      <c r="M265" s="150">
        <f>SUM(E265:L265)</f>
        <v>345432</v>
      </c>
      <c r="N265" s="45" t="s">
        <v>7</v>
      </c>
      <c r="O265" s="45" t="s">
        <v>287</v>
      </c>
      <c r="P265" s="289" t="s">
        <v>288</v>
      </c>
      <c r="Q265" s="290"/>
      <c r="R265" s="290"/>
      <c r="S265" s="290"/>
      <c r="T265" s="290"/>
      <c r="U265" s="290"/>
      <c r="V265" s="290"/>
      <c r="W265" s="290"/>
      <c r="X265" s="290"/>
      <c r="Y265" s="290"/>
      <c r="Z265" s="290"/>
      <c r="AA265" s="290"/>
      <c r="AB265" s="290"/>
      <c r="AC265" s="290"/>
      <c r="AD265" s="291"/>
    </row>
    <row r="266" spans="1:30" ht="16.5" customHeight="1">
      <c r="A266" s="9"/>
      <c r="B266" s="9"/>
      <c r="C266" s="9"/>
      <c r="D266" s="161" t="s">
        <v>710</v>
      </c>
      <c r="E266" s="42">
        <v>0</v>
      </c>
      <c r="F266" s="42">
        <v>0</v>
      </c>
      <c r="G266" s="42">
        <v>0</v>
      </c>
      <c r="H266" s="42">
        <v>0</v>
      </c>
      <c r="I266" s="42">
        <v>0</v>
      </c>
      <c r="J266" s="42">
        <v>0</v>
      </c>
      <c r="K266" s="42">
        <v>0</v>
      </c>
      <c r="L266" s="42">
        <v>0</v>
      </c>
      <c r="M266" s="150"/>
      <c r="N266" s="45" t="s">
        <v>289</v>
      </c>
      <c r="O266" s="45" t="s">
        <v>290</v>
      </c>
    </row>
    <row r="267" spans="1:30" ht="16.5" customHeight="1">
      <c r="A267" s="9"/>
      <c r="B267" s="9"/>
      <c r="C267" s="9"/>
      <c r="D267" s="161" t="s">
        <v>701</v>
      </c>
      <c r="E267" s="42" t="s">
        <v>714</v>
      </c>
      <c r="F267" s="42" t="s">
        <v>714</v>
      </c>
      <c r="G267" s="42" t="s">
        <v>714</v>
      </c>
      <c r="H267" s="42" t="s">
        <v>714</v>
      </c>
      <c r="I267" s="42" t="s">
        <v>714</v>
      </c>
      <c r="J267" s="42" t="s">
        <v>714</v>
      </c>
      <c r="K267" s="42" t="s">
        <v>714</v>
      </c>
      <c r="L267" s="42" t="s">
        <v>714</v>
      </c>
      <c r="M267" s="150"/>
      <c r="N267" s="45" t="s">
        <v>291</v>
      </c>
      <c r="O267" s="45" t="s">
        <v>292</v>
      </c>
    </row>
    <row r="268" spans="1:30" ht="16.5" customHeight="1">
      <c r="A268" s="9"/>
      <c r="B268" s="9"/>
      <c r="C268" s="9"/>
      <c r="D268" s="161" t="s">
        <v>702</v>
      </c>
      <c r="E268" s="42" t="s">
        <v>716</v>
      </c>
      <c r="F268" s="42" t="s">
        <v>716</v>
      </c>
      <c r="G268" s="42" t="s">
        <v>716</v>
      </c>
      <c r="H268" s="42" t="s">
        <v>716</v>
      </c>
      <c r="I268" s="42" t="s">
        <v>716</v>
      </c>
      <c r="J268" s="42" t="s">
        <v>716</v>
      </c>
      <c r="K268" s="42" t="s">
        <v>716</v>
      </c>
      <c r="L268" s="42" t="s">
        <v>716</v>
      </c>
      <c r="M268" s="150"/>
      <c r="N268" s="45" t="s">
        <v>293</v>
      </c>
      <c r="O268" s="45" t="s">
        <v>294</v>
      </c>
    </row>
    <row r="269" spans="1:30" ht="16.5" customHeight="1">
      <c r="A269" s="9"/>
      <c r="B269" s="9"/>
      <c r="C269" s="9"/>
      <c r="D269" s="161" t="s">
        <v>703</v>
      </c>
      <c r="E269" s="42">
        <v>0</v>
      </c>
      <c r="F269" s="42">
        <v>0</v>
      </c>
      <c r="G269" s="42">
        <v>0</v>
      </c>
      <c r="H269" s="42">
        <v>0</v>
      </c>
      <c r="I269" s="42">
        <v>0</v>
      </c>
      <c r="J269" s="42">
        <v>0</v>
      </c>
      <c r="K269" s="42">
        <v>0</v>
      </c>
      <c r="L269" s="42">
        <v>0</v>
      </c>
      <c r="M269" s="150">
        <f>SUM(E269:L269)</f>
        <v>0</v>
      </c>
      <c r="N269" s="45" t="s">
        <v>295</v>
      </c>
      <c r="O269" s="45" t="s">
        <v>296</v>
      </c>
    </row>
    <row r="270" spans="1:30" ht="16.5" customHeight="1">
      <c r="A270" s="9"/>
      <c r="B270" s="9"/>
      <c r="C270" s="9"/>
      <c r="D270" s="161" t="s">
        <v>704</v>
      </c>
      <c r="E270" s="42">
        <v>0</v>
      </c>
      <c r="F270" s="42">
        <v>0</v>
      </c>
      <c r="G270" s="42">
        <v>0</v>
      </c>
      <c r="H270" s="42">
        <v>0</v>
      </c>
      <c r="I270" s="42">
        <v>0</v>
      </c>
      <c r="J270" s="42">
        <v>0</v>
      </c>
      <c r="K270" s="42">
        <v>0</v>
      </c>
      <c r="L270" s="42">
        <v>0</v>
      </c>
      <c r="M270" s="150">
        <f>SUM(E270:L270)</f>
        <v>0</v>
      </c>
      <c r="N270" s="45" t="s">
        <v>297</v>
      </c>
      <c r="O270" s="45" t="s">
        <v>298</v>
      </c>
    </row>
    <row r="271" spans="1:30" ht="16.5" customHeight="1" thickBot="1">
      <c r="A271" s="9"/>
      <c r="B271" s="9"/>
      <c r="C271" s="9"/>
      <c r="D271" s="162" t="s">
        <v>705</v>
      </c>
      <c r="E271" s="163">
        <f>+E265+E269+E270</f>
        <v>345432</v>
      </c>
      <c r="F271" s="163">
        <f t="shared" ref="F271:M271" si="7">+F265+F269+F270</f>
        <v>0</v>
      </c>
      <c r="G271" s="163">
        <f t="shared" si="7"/>
        <v>0</v>
      </c>
      <c r="H271" s="163">
        <f t="shared" si="7"/>
        <v>0</v>
      </c>
      <c r="I271" s="163">
        <f t="shared" si="7"/>
        <v>0</v>
      </c>
      <c r="J271" s="163">
        <f t="shared" si="7"/>
        <v>0</v>
      </c>
      <c r="K271" s="163">
        <f t="shared" si="7"/>
        <v>0</v>
      </c>
      <c r="L271" s="163">
        <f t="shared" si="7"/>
        <v>0</v>
      </c>
      <c r="M271" s="163">
        <f t="shared" si="7"/>
        <v>345432</v>
      </c>
      <c r="N271" s="45" t="s">
        <v>19</v>
      </c>
      <c r="O271" s="45" t="s">
        <v>299</v>
      </c>
    </row>
    <row r="272" spans="1:30" ht="16" thickBot="1">
      <c r="A272" s="9"/>
      <c r="B272" s="9"/>
      <c r="C272" s="9"/>
      <c r="D272" s="56"/>
      <c r="E272" s="56"/>
      <c r="F272" s="56"/>
      <c r="G272" s="56"/>
      <c r="H272" s="56"/>
      <c r="I272" s="56"/>
      <c r="J272" s="56"/>
      <c r="K272" s="56"/>
      <c r="L272" s="56"/>
      <c r="M272" s="56"/>
      <c r="N272" s="56"/>
    </row>
    <row r="273" spans="1:15" ht="16" thickBot="1">
      <c r="A273" s="9"/>
      <c r="B273" s="9"/>
      <c r="C273" s="9"/>
      <c r="D273" s="361" t="s">
        <v>706</v>
      </c>
      <c r="E273" s="362" t="s">
        <v>102</v>
      </c>
      <c r="F273" s="362"/>
      <c r="G273" s="362"/>
      <c r="H273" s="362"/>
      <c r="I273" s="362"/>
      <c r="J273" s="362"/>
      <c r="K273" s="362"/>
      <c r="L273" s="362"/>
      <c r="M273" s="363"/>
      <c r="N273" s="45" t="s">
        <v>300</v>
      </c>
      <c r="O273" s="45" t="s">
        <v>301</v>
      </c>
    </row>
    <row r="274" spans="1:15">
      <c r="A274" s="9"/>
      <c r="B274" s="9"/>
      <c r="C274" s="9"/>
      <c r="D274" s="168" t="s">
        <v>707</v>
      </c>
      <c r="E274" s="169" t="str">
        <f>+E264</f>
        <v>Nord Stream AG (Stateless Permanent Establishment Finland)</v>
      </c>
      <c r="F274" s="169">
        <f t="shared" ref="F274:M274" si="8">+F264</f>
        <v>0</v>
      </c>
      <c r="G274" s="169">
        <f t="shared" si="8"/>
        <v>0</v>
      </c>
      <c r="H274" s="169">
        <f t="shared" si="8"/>
        <v>0</v>
      </c>
      <c r="I274" s="169">
        <f t="shared" si="8"/>
        <v>0</v>
      </c>
      <c r="J274" s="169">
        <f t="shared" si="8"/>
        <v>0</v>
      </c>
      <c r="K274" s="169">
        <f t="shared" si="8"/>
        <v>0</v>
      </c>
      <c r="L274" s="169">
        <f t="shared" si="8"/>
        <v>0</v>
      </c>
      <c r="M274" s="170" t="str">
        <f t="shared" si="8"/>
        <v>Total amount</v>
      </c>
      <c r="N274" s="45" t="s">
        <v>245</v>
      </c>
      <c r="O274" s="45" t="s">
        <v>302</v>
      </c>
    </row>
    <row r="275" spans="1:15">
      <c r="A275" s="9"/>
      <c r="B275" s="9"/>
      <c r="C275" s="9"/>
      <c r="D275" s="161" t="s">
        <v>708</v>
      </c>
      <c r="E275" s="42">
        <v>0</v>
      </c>
      <c r="F275" s="42">
        <v>0</v>
      </c>
      <c r="G275" s="42">
        <v>0</v>
      </c>
      <c r="H275" s="42">
        <v>0</v>
      </c>
      <c r="I275" s="42">
        <v>0</v>
      </c>
      <c r="J275" s="42">
        <v>0</v>
      </c>
      <c r="K275" s="42">
        <v>0</v>
      </c>
      <c r="L275" s="42">
        <v>0</v>
      </c>
      <c r="M275" s="150">
        <f>SUM(E275:L275)</f>
        <v>0</v>
      </c>
      <c r="N275" s="45" t="s">
        <v>289</v>
      </c>
      <c r="O275" s="45" t="s">
        <v>303</v>
      </c>
    </row>
    <row r="276" spans="1:15">
      <c r="A276" s="9"/>
      <c r="B276" s="9"/>
      <c r="C276" s="9"/>
      <c r="D276" s="161" t="s">
        <v>305</v>
      </c>
      <c r="E276" s="42">
        <v>0</v>
      </c>
      <c r="F276" s="42">
        <v>0</v>
      </c>
      <c r="G276" s="42">
        <v>0</v>
      </c>
      <c r="H276" s="42">
        <v>0</v>
      </c>
      <c r="I276" s="42">
        <v>0</v>
      </c>
      <c r="J276" s="42">
        <v>0</v>
      </c>
      <c r="K276" s="42">
        <v>0</v>
      </c>
      <c r="L276" s="42">
        <v>0</v>
      </c>
      <c r="M276" s="150">
        <f>SUM(E276:L276)</f>
        <v>0</v>
      </c>
      <c r="N276" s="45" t="s">
        <v>291</v>
      </c>
      <c r="O276" s="45" t="s">
        <v>304</v>
      </c>
    </row>
    <row r="277" spans="1:15">
      <c r="A277" s="9"/>
      <c r="B277" s="9"/>
      <c r="C277" s="9"/>
      <c r="D277" s="161" t="s">
        <v>709</v>
      </c>
      <c r="E277" s="42">
        <v>0</v>
      </c>
      <c r="F277" s="42">
        <v>0</v>
      </c>
      <c r="G277" s="42">
        <v>0</v>
      </c>
      <c r="H277" s="42">
        <v>0</v>
      </c>
      <c r="I277" s="42">
        <v>0</v>
      </c>
      <c r="J277" s="42">
        <v>0</v>
      </c>
      <c r="K277" s="42">
        <v>0</v>
      </c>
      <c r="L277" s="42">
        <v>0</v>
      </c>
      <c r="M277" s="150">
        <f>SUM(E277:L277)</f>
        <v>0</v>
      </c>
      <c r="N277" s="45" t="s">
        <v>293</v>
      </c>
      <c r="O277" s="45" t="s">
        <v>306</v>
      </c>
    </row>
    <row r="278" spans="1:15">
      <c r="A278" s="9"/>
      <c r="B278" s="9"/>
      <c r="C278" s="9"/>
      <c r="D278" s="161" t="s">
        <v>711</v>
      </c>
      <c r="E278" s="172">
        <v>0</v>
      </c>
      <c r="F278" s="172">
        <v>0</v>
      </c>
      <c r="G278" s="172">
        <v>0</v>
      </c>
      <c r="H278" s="172">
        <v>0</v>
      </c>
      <c r="I278" s="172">
        <v>0</v>
      </c>
      <c r="J278" s="172">
        <v>0</v>
      </c>
      <c r="K278" s="172">
        <v>0</v>
      </c>
      <c r="L278" s="172">
        <v>0</v>
      </c>
      <c r="M278" s="150">
        <f>SUM(E278:L278)</f>
        <v>0</v>
      </c>
      <c r="N278" s="45"/>
      <c r="O278" s="45"/>
    </row>
    <row r="279" spans="1:15" ht="25.5" thickBot="1">
      <c r="A279" s="9"/>
      <c r="B279" s="9"/>
      <c r="C279" s="9"/>
      <c r="D279" s="162" t="s">
        <v>712</v>
      </c>
      <c r="E279" s="106">
        <v>0</v>
      </c>
      <c r="F279" s="106">
        <v>0</v>
      </c>
      <c r="G279" s="106">
        <v>0</v>
      </c>
      <c r="H279" s="106">
        <v>0</v>
      </c>
      <c r="I279" s="106">
        <v>0</v>
      </c>
      <c r="J279" s="106">
        <v>0</v>
      </c>
      <c r="K279" s="106">
        <v>0</v>
      </c>
      <c r="L279" s="106">
        <v>0</v>
      </c>
      <c r="M279" s="164">
        <f>SUM(M275:M277)</f>
        <v>0</v>
      </c>
      <c r="N279" s="45" t="s">
        <v>263</v>
      </c>
      <c r="O279" s="45" t="s">
        <v>307</v>
      </c>
    </row>
    <row r="280" spans="1:15" ht="16" thickBot="1">
      <c r="A280" s="56"/>
      <c r="B280" s="56"/>
      <c r="C280" s="56"/>
      <c r="D280" s="56"/>
      <c r="E280" s="56"/>
      <c r="F280" s="56"/>
      <c r="G280" s="56"/>
      <c r="H280" s="56"/>
      <c r="I280" s="56"/>
      <c r="J280" s="56"/>
      <c r="K280" s="56"/>
      <c r="L280" s="56"/>
      <c r="M280" s="56"/>
      <c r="N280" s="56"/>
    </row>
    <row r="281" spans="1:15" ht="16" thickBot="1">
      <c r="A281" s="56"/>
      <c r="B281" s="56"/>
      <c r="C281" s="56"/>
      <c r="D281" s="361" t="s">
        <v>309</v>
      </c>
      <c r="E281" s="362" t="s">
        <v>102</v>
      </c>
      <c r="F281" s="362"/>
      <c r="G281" s="362"/>
      <c r="H281" s="362"/>
      <c r="I281" s="362"/>
      <c r="J281" s="362"/>
      <c r="K281" s="362"/>
      <c r="L281" s="362"/>
      <c r="M281" s="363"/>
      <c r="N281" s="56"/>
      <c r="O281" s="45" t="s">
        <v>308</v>
      </c>
    </row>
    <row r="282" spans="1:15">
      <c r="A282" s="56"/>
      <c r="B282" s="56"/>
      <c r="C282" s="56"/>
      <c r="D282" s="168" t="s">
        <v>713</v>
      </c>
      <c r="E282" s="169" t="str">
        <f>+E274</f>
        <v>Nord Stream AG (Stateless Permanent Establishment Finland)</v>
      </c>
      <c r="F282" s="169">
        <f t="shared" ref="F282:M282" si="9">+F274</f>
        <v>0</v>
      </c>
      <c r="G282" s="169">
        <f t="shared" si="9"/>
        <v>0</v>
      </c>
      <c r="H282" s="169">
        <f t="shared" si="9"/>
        <v>0</v>
      </c>
      <c r="I282" s="169">
        <f t="shared" si="9"/>
        <v>0</v>
      </c>
      <c r="J282" s="169">
        <f t="shared" si="9"/>
        <v>0</v>
      </c>
      <c r="K282" s="169">
        <f t="shared" si="9"/>
        <v>0</v>
      </c>
      <c r="L282" s="169">
        <f t="shared" si="9"/>
        <v>0</v>
      </c>
      <c r="M282" s="170" t="str">
        <f t="shared" si="9"/>
        <v>Total amount</v>
      </c>
      <c r="N282" s="56"/>
      <c r="O282" s="45" t="s">
        <v>310</v>
      </c>
    </row>
    <row r="283" spans="1:15">
      <c r="A283" s="56"/>
      <c r="B283" s="56"/>
      <c r="C283" s="56"/>
      <c r="D283" s="161" t="s">
        <v>312</v>
      </c>
      <c r="E283" s="42">
        <v>0</v>
      </c>
      <c r="F283" s="42">
        <v>0</v>
      </c>
      <c r="G283" s="42">
        <v>0</v>
      </c>
      <c r="H283" s="42">
        <v>0</v>
      </c>
      <c r="I283" s="42">
        <v>0</v>
      </c>
      <c r="J283" s="42">
        <v>0</v>
      </c>
      <c r="K283" s="42">
        <v>0</v>
      </c>
      <c r="L283" s="42">
        <v>0</v>
      </c>
      <c r="M283" s="150">
        <f>SUM(E283:L283)</f>
        <v>0</v>
      </c>
      <c r="N283" s="56"/>
      <c r="O283" s="45" t="s">
        <v>311</v>
      </c>
    </row>
    <row r="284" spans="1:15">
      <c r="A284" s="56"/>
      <c r="B284" s="56"/>
      <c r="C284" s="56"/>
      <c r="D284" s="161" t="s">
        <v>314</v>
      </c>
      <c r="E284" s="42" t="s">
        <v>714</v>
      </c>
      <c r="F284" s="42" t="s">
        <v>714</v>
      </c>
      <c r="G284" s="42" t="s">
        <v>714</v>
      </c>
      <c r="H284" s="42" t="s">
        <v>714</v>
      </c>
      <c r="I284" s="42" t="s">
        <v>714</v>
      </c>
      <c r="J284" s="42" t="s">
        <v>714</v>
      </c>
      <c r="K284" s="42" t="s">
        <v>714</v>
      </c>
      <c r="L284" s="42" t="s">
        <v>714</v>
      </c>
      <c r="M284" s="150"/>
      <c r="N284" s="56"/>
      <c r="O284" s="45" t="s">
        <v>313</v>
      </c>
    </row>
    <row r="285" spans="1:15">
      <c r="A285" s="56"/>
      <c r="B285" s="56"/>
      <c r="C285" s="56"/>
      <c r="D285" s="161" t="s">
        <v>316</v>
      </c>
      <c r="E285" s="42" t="s">
        <v>715</v>
      </c>
      <c r="F285" s="42" t="s">
        <v>715</v>
      </c>
      <c r="G285" s="42" t="s">
        <v>715</v>
      </c>
      <c r="H285" s="42" t="s">
        <v>715</v>
      </c>
      <c r="I285" s="42" t="s">
        <v>715</v>
      </c>
      <c r="J285" s="42" t="s">
        <v>715</v>
      </c>
      <c r="K285" s="42" t="s">
        <v>715</v>
      </c>
      <c r="L285" s="42" t="s">
        <v>715</v>
      </c>
      <c r="M285" s="150"/>
      <c r="N285" s="56"/>
      <c r="O285" s="45" t="s">
        <v>315</v>
      </c>
    </row>
    <row r="286" spans="1:15" ht="16" thickBot="1">
      <c r="A286" s="56"/>
      <c r="B286" s="56"/>
      <c r="C286" s="56"/>
      <c r="D286" s="162" t="s">
        <v>318</v>
      </c>
      <c r="E286" s="106">
        <v>0</v>
      </c>
      <c r="F286" s="106">
        <v>0</v>
      </c>
      <c r="G286" s="106">
        <v>0</v>
      </c>
      <c r="H286" s="106">
        <v>0</v>
      </c>
      <c r="I286" s="106">
        <v>0</v>
      </c>
      <c r="J286" s="106"/>
      <c r="K286" s="106"/>
      <c r="L286" s="106"/>
      <c r="M286" s="164">
        <f>SUM(E286:L286)</f>
        <v>0</v>
      </c>
      <c r="N286" s="56"/>
      <c r="O286" s="45" t="s">
        <v>317</v>
      </c>
    </row>
    <row r="287" spans="1:15">
      <c r="A287" s="56"/>
      <c r="B287" s="56"/>
      <c r="C287" s="56"/>
      <c r="D287" s="2"/>
      <c r="E287" s="56"/>
      <c r="F287" s="56"/>
      <c r="G287" s="56"/>
      <c r="H287" s="56"/>
      <c r="I287" s="56"/>
      <c r="J287" s="56"/>
      <c r="K287" s="56"/>
      <c r="L287" s="56"/>
      <c r="M287" s="56"/>
      <c r="N287" s="56"/>
    </row>
    <row r="288" spans="1:15" ht="16" thickBot="1">
      <c r="A288" s="56"/>
      <c r="B288" s="56"/>
      <c r="C288" s="56"/>
      <c r="E288" s="56"/>
      <c r="F288" s="56"/>
      <c r="G288" s="56"/>
      <c r="H288" s="56"/>
      <c r="I288" s="56"/>
      <c r="J288" s="56"/>
      <c r="K288" s="56"/>
      <c r="L288" s="56"/>
      <c r="M288" s="56"/>
      <c r="N288" s="56"/>
    </row>
    <row r="289" spans="1:30" ht="16" thickBot="1">
      <c r="A289" s="56"/>
      <c r="B289" s="56"/>
      <c r="C289" s="56"/>
      <c r="D289" s="296" t="s">
        <v>319</v>
      </c>
      <c r="E289" s="297"/>
      <c r="F289" s="297"/>
      <c r="G289" s="297"/>
      <c r="H289" s="297"/>
      <c r="I289" s="297"/>
      <c r="J289" s="297"/>
      <c r="K289" s="297"/>
      <c r="L289" s="297"/>
      <c r="M289" s="298"/>
      <c r="N289" s="7"/>
    </row>
    <row r="290" spans="1:30" ht="16" thickBot="1">
      <c r="A290" s="56"/>
      <c r="B290" s="56"/>
      <c r="C290" s="56"/>
      <c r="D290" s="296" t="s">
        <v>321</v>
      </c>
      <c r="E290" s="297"/>
      <c r="F290" s="297"/>
      <c r="G290" s="297"/>
      <c r="H290" s="297"/>
      <c r="I290" s="297"/>
      <c r="J290" s="297"/>
      <c r="K290" s="297"/>
      <c r="L290" s="297"/>
      <c r="M290" s="298"/>
      <c r="N290" s="45"/>
      <c r="O290" s="45" t="s">
        <v>320</v>
      </c>
    </row>
    <row r="291" spans="1:30">
      <c r="A291" s="56"/>
      <c r="B291" s="56"/>
      <c r="C291" s="56"/>
      <c r="D291" s="174" t="s">
        <v>247</v>
      </c>
      <c r="E291" s="169" t="str">
        <f>+E282</f>
        <v>Nord Stream AG (Stateless Permanent Establishment Finland)</v>
      </c>
      <c r="F291" s="169">
        <f t="shared" ref="F291:M291" si="10">+F282</f>
        <v>0</v>
      </c>
      <c r="G291" s="169">
        <f t="shared" si="10"/>
        <v>0</v>
      </c>
      <c r="H291" s="169">
        <f t="shared" si="10"/>
        <v>0</v>
      </c>
      <c r="I291" s="169">
        <f t="shared" si="10"/>
        <v>0</v>
      </c>
      <c r="J291" s="169">
        <f t="shared" si="10"/>
        <v>0</v>
      </c>
      <c r="K291" s="169">
        <f t="shared" si="10"/>
        <v>0</v>
      </c>
      <c r="L291" s="169">
        <f t="shared" si="10"/>
        <v>0</v>
      </c>
      <c r="M291" s="170" t="str">
        <f t="shared" si="10"/>
        <v>Total amount</v>
      </c>
      <c r="N291" s="45"/>
      <c r="O291" s="45" t="s">
        <v>322</v>
      </c>
    </row>
    <row r="292" spans="1:30" ht="16.5" customHeight="1">
      <c r="A292" s="56"/>
      <c r="B292" s="56"/>
      <c r="C292" s="56"/>
      <c r="D292" s="175" t="s">
        <v>325</v>
      </c>
      <c r="E292" s="173">
        <f>+E321</f>
        <v>234567</v>
      </c>
      <c r="F292" s="173">
        <f t="shared" ref="F292:L292" si="11">+F321</f>
        <v>0</v>
      </c>
      <c r="G292" s="173">
        <f>+G321</f>
        <v>0</v>
      </c>
      <c r="H292" s="173">
        <f t="shared" si="11"/>
        <v>0</v>
      </c>
      <c r="I292" s="173">
        <f t="shared" si="11"/>
        <v>0</v>
      </c>
      <c r="J292" s="173">
        <f t="shared" si="11"/>
        <v>0</v>
      </c>
      <c r="K292" s="173">
        <f t="shared" si="11"/>
        <v>0</v>
      </c>
      <c r="L292" s="173">
        <f t="shared" si="11"/>
        <v>0</v>
      </c>
      <c r="M292" s="150">
        <f>SUM(E292:L292)</f>
        <v>234567</v>
      </c>
      <c r="N292" s="45" t="s">
        <v>53</v>
      </c>
      <c r="O292" s="45" t="s">
        <v>324</v>
      </c>
    </row>
    <row r="293" spans="1:30">
      <c r="A293" s="56"/>
      <c r="B293" s="56"/>
      <c r="C293" s="56"/>
      <c r="D293" s="300" t="s">
        <v>250</v>
      </c>
      <c r="E293" s="301"/>
      <c r="F293" s="301"/>
      <c r="G293" s="301"/>
      <c r="H293" s="301"/>
      <c r="I293" s="301"/>
      <c r="J293" s="301"/>
      <c r="K293" s="301"/>
      <c r="L293" s="301"/>
      <c r="M293" s="302"/>
      <c r="N293" s="45" t="s">
        <v>137</v>
      </c>
      <c r="O293" s="45" t="s">
        <v>717</v>
      </c>
    </row>
    <row r="294" spans="1:30" ht="31" customHeight="1">
      <c r="A294" s="56"/>
      <c r="B294" s="56"/>
      <c r="C294" s="56"/>
      <c r="D294" s="24" t="s">
        <v>539</v>
      </c>
      <c r="E294" s="42">
        <v>0</v>
      </c>
      <c r="F294" s="42">
        <v>0</v>
      </c>
      <c r="G294" s="42">
        <v>0</v>
      </c>
      <c r="H294" s="42">
        <v>0</v>
      </c>
      <c r="I294" s="42">
        <v>0</v>
      </c>
      <c r="J294" s="42"/>
      <c r="K294" s="42"/>
      <c r="L294" s="42"/>
      <c r="M294" s="150">
        <f>SUM(E294:L294)</f>
        <v>0</v>
      </c>
      <c r="N294" s="45" t="s">
        <v>57</v>
      </c>
      <c r="O294" s="45" t="s">
        <v>718</v>
      </c>
      <c r="P294" s="289" t="s">
        <v>326</v>
      </c>
      <c r="Q294" s="290"/>
      <c r="R294" s="290"/>
      <c r="S294" s="290"/>
      <c r="T294" s="290"/>
      <c r="U294" s="290"/>
      <c r="V294" s="290"/>
      <c r="W294" s="290"/>
      <c r="X294" s="290"/>
      <c r="Y294" s="290"/>
      <c r="Z294" s="290"/>
      <c r="AA294" s="290"/>
      <c r="AB294" s="290"/>
      <c r="AC294" s="290"/>
      <c r="AD294" s="291"/>
    </row>
    <row r="295" spans="1:30" ht="52" customHeight="1">
      <c r="A295" s="56"/>
      <c r="B295" s="56"/>
      <c r="C295" s="56"/>
      <c r="D295" s="24" t="s">
        <v>730</v>
      </c>
      <c r="E295" s="42">
        <v>0</v>
      </c>
      <c r="F295" s="42">
        <v>0</v>
      </c>
      <c r="G295" s="42">
        <v>0</v>
      </c>
      <c r="H295" s="42">
        <v>0</v>
      </c>
      <c r="I295" s="42">
        <v>0</v>
      </c>
      <c r="J295" s="42"/>
      <c r="K295" s="42"/>
      <c r="L295" s="42"/>
      <c r="M295" s="150">
        <f t="shared" ref="M295:M310" si="12">SUM(E295:L295)</f>
        <v>0</v>
      </c>
      <c r="N295" s="45" t="s">
        <v>61</v>
      </c>
      <c r="O295" s="45" t="s">
        <v>719</v>
      </c>
      <c r="P295" s="289" t="s">
        <v>327</v>
      </c>
      <c r="Q295" s="290"/>
      <c r="R295" s="290"/>
      <c r="S295" s="290"/>
      <c r="T295" s="290"/>
      <c r="U295" s="290"/>
      <c r="V295" s="290"/>
      <c r="W295" s="290"/>
      <c r="X295" s="290"/>
      <c r="Y295" s="290"/>
      <c r="Z295" s="290"/>
      <c r="AA295" s="290"/>
      <c r="AB295" s="290"/>
      <c r="AC295" s="290"/>
      <c r="AD295" s="291"/>
    </row>
    <row r="296" spans="1:30" ht="56.5" customHeight="1">
      <c r="A296" s="56"/>
      <c r="B296" s="56"/>
      <c r="C296" s="56"/>
      <c r="D296" s="24" t="s">
        <v>731</v>
      </c>
      <c r="E296" s="42">
        <v>0</v>
      </c>
      <c r="F296" s="42">
        <v>0</v>
      </c>
      <c r="G296" s="42">
        <v>0</v>
      </c>
      <c r="H296" s="42">
        <v>0</v>
      </c>
      <c r="I296" s="42">
        <v>0</v>
      </c>
      <c r="J296" s="42"/>
      <c r="K296" s="42"/>
      <c r="L296" s="42"/>
      <c r="M296" s="150">
        <f t="shared" si="12"/>
        <v>0</v>
      </c>
      <c r="N296" s="45" t="s">
        <v>63</v>
      </c>
      <c r="O296" s="45" t="s">
        <v>328</v>
      </c>
      <c r="P296" s="289" t="s">
        <v>329</v>
      </c>
      <c r="Q296" s="290"/>
      <c r="R296" s="290"/>
      <c r="S296" s="290"/>
      <c r="T296" s="290"/>
      <c r="U296" s="290"/>
      <c r="V296" s="290"/>
      <c r="W296" s="290"/>
      <c r="X296" s="290"/>
      <c r="Y296" s="290"/>
      <c r="Z296" s="290"/>
      <c r="AA296" s="290"/>
      <c r="AB296" s="290"/>
      <c r="AC296" s="290"/>
      <c r="AD296" s="291"/>
    </row>
    <row r="297" spans="1:30" ht="41" customHeight="1">
      <c r="A297" s="56"/>
      <c r="B297" s="56"/>
      <c r="C297" s="56"/>
      <c r="D297" s="24" t="s">
        <v>734</v>
      </c>
      <c r="E297" s="42">
        <v>0</v>
      </c>
      <c r="F297" s="42">
        <v>0</v>
      </c>
      <c r="G297" s="42">
        <v>0</v>
      </c>
      <c r="H297" s="42">
        <v>0</v>
      </c>
      <c r="I297" s="42">
        <v>0</v>
      </c>
      <c r="J297" s="42"/>
      <c r="K297" s="42"/>
      <c r="L297" s="42"/>
      <c r="M297" s="150">
        <f t="shared" si="12"/>
        <v>0</v>
      </c>
      <c r="N297" s="45" t="s">
        <v>66</v>
      </c>
      <c r="O297" s="45" t="s">
        <v>720</v>
      </c>
      <c r="P297" s="289" t="s">
        <v>330</v>
      </c>
      <c r="Q297" s="290"/>
      <c r="R297" s="290"/>
      <c r="S297" s="290"/>
      <c r="T297" s="290"/>
      <c r="U297" s="290"/>
      <c r="V297" s="290"/>
      <c r="W297" s="290"/>
      <c r="X297" s="290"/>
      <c r="Y297" s="290"/>
      <c r="Z297" s="290"/>
      <c r="AA297" s="290"/>
      <c r="AB297" s="290"/>
      <c r="AC297" s="290"/>
      <c r="AD297" s="291"/>
    </row>
    <row r="298" spans="1:30" ht="36.5" customHeight="1">
      <c r="A298" s="56"/>
      <c r="B298" s="56"/>
      <c r="C298" s="56"/>
      <c r="D298" s="24" t="s">
        <v>732</v>
      </c>
      <c r="E298" s="42">
        <v>0</v>
      </c>
      <c r="F298" s="42">
        <v>0</v>
      </c>
      <c r="G298" s="42">
        <v>0</v>
      </c>
      <c r="H298" s="42">
        <v>0</v>
      </c>
      <c r="I298" s="42">
        <v>0</v>
      </c>
      <c r="J298" s="42"/>
      <c r="K298" s="42"/>
      <c r="L298" s="42"/>
      <c r="M298" s="150">
        <f t="shared" si="12"/>
        <v>0</v>
      </c>
      <c r="N298" s="45" t="s">
        <v>68</v>
      </c>
      <c r="O298" s="45" t="s">
        <v>721</v>
      </c>
      <c r="P298" s="289" t="s">
        <v>331</v>
      </c>
      <c r="Q298" s="290"/>
      <c r="R298" s="290"/>
      <c r="S298" s="290"/>
      <c r="T298" s="290"/>
      <c r="U298" s="290"/>
      <c r="V298" s="290"/>
      <c r="W298" s="290"/>
      <c r="X298" s="290"/>
      <c r="Y298" s="290"/>
      <c r="Z298" s="290"/>
      <c r="AA298" s="290"/>
      <c r="AB298" s="290"/>
      <c r="AC298" s="290"/>
      <c r="AD298" s="291"/>
    </row>
    <row r="299" spans="1:30" ht="31">
      <c r="A299" s="56"/>
      <c r="B299" s="56"/>
      <c r="C299" s="56"/>
      <c r="D299" s="24" t="s">
        <v>733</v>
      </c>
      <c r="E299" s="42">
        <v>0</v>
      </c>
      <c r="F299" s="42">
        <v>0</v>
      </c>
      <c r="G299" s="42">
        <v>0</v>
      </c>
      <c r="H299" s="42">
        <v>0</v>
      </c>
      <c r="I299" s="42">
        <v>0</v>
      </c>
      <c r="J299" s="42"/>
      <c r="K299" s="42"/>
      <c r="L299" s="42"/>
      <c r="M299" s="150">
        <f t="shared" si="12"/>
        <v>0</v>
      </c>
      <c r="N299" s="45" t="s">
        <v>70</v>
      </c>
      <c r="O299" s="45" t="s">
        <v>332</v>
      </c>
      <c r="P299" s="289" t="s">
        <v>333</v>
      </c>
      <c r="Q299" s="290"/>
      <c r="R299" s="290"/>
      <c r="S299" s="290"/>
      <c r="T299" s="290"/>
      <c r="U299" s="290"/>
      <c r="V299" s="290"/>
      <c r="W299" s="290"/>
      <c r="X299" s="290"/>
      <c r="Y299" s="290"/>
      <c r="Z299" s="290"/>
      <c r="AA299" s="290"/>
      <c r="AB299" s="290"/>
      <c r="AC299" s="290"/>
      <c r="AD299" s="291"/>
    </row>
    <row r="300" spans="1:30" ht="31" customHeight="1">
      <c r="A300" s="56"/>
      <c r="B300" s="56"/>
      <c r="C300" s="56"/>
      <c r="D300" s="24" t="s">
        <v>735</v>
      </c>
      <c r="E300" s="42">
        <v>0</v>
      </c>
      <c r="F300" s="42">
        <v>0</v>
      </c>
      <c r="G300" s="42">
        <v>0</v>
      </c>
      <c r="H300" s="42">
        <v>0</v>
      </c>
      <c r="I300" s="42">
        <v>0</v>
      </c>
      <c r="J300" s="42"/>
      <c r="K300" s="42"/>
      <c r="L300" s="42"/>
      <c r="M300" s="150">
        <f t="shared" si="12"/>
        <v>0</v>
      </c>
      <c r="N300" s="45" t="s">
        <v>73</v>
      </c>
      <c r="O300" s="45" t="s">
        <v>334</v>
      </c>
      <c r="P300" s="289" t="s">
        <v>335</v>
      </c>
      <c r="Q300" s="290"/>
      <c r="R300" s="290"/>
      <c r="S300" s="290"/>
      <c r="T300" s="290"/>
      <c r="U300" s="290"/>
      <c r="V300" s="290"/>
      <c r="W300" s="290"/>
      <c r="X300" s="290"/>
      <c r="Y300" s="290"/>
      <c r="Z300" s="290"/>
      <c r="AA300" s="290"/>
      <c r="AB300" s="290"/>
      <c r="AC300" s="290"/>
      <c r="AD300" s="291"/>
    </row>
    <row r="301" spans="1:30" ht="16.5" customHeight="1">
      <c r="A301" s="56"/>
      <c r="B301" s="56"/>
      <c r="C301" s="56"/>
      <c r="D301" s="24" t="s">
        <v>736</v>
      </c>
      <c r="E301" s="42">
        <v>0</v>
      </c>
      <c r="F301" s="42">
        <v>0</v>
      </c>
      <c r="G301" s="42">
        <v>0</v>
      </c>
      <c r="H301" s="42">
        <v>0</v>
      </c>
      <c r="I301" s="42">
        <v>0</v>
      </c>
      <c r="J301" s="42"/>
      <c r="K301" s="42"/>
      <c r="L301" s="42"/>
      <c r="M301" s="150">
        <f t="shared" si="12"/>
        <v>0</v>
      </c>
      <c r="N301" s="45" t="s">
        <v>76</v>
      </c>
      <c r="O301" s="45" t="s">
        <v>722</v>
      </c>
      <c r="P301" s="289" t="s">
        <v>336</v>
      </c>
      <c r="Q301" s="290"/>
      <c r="R301" s="290"/>
      <c r="S301" s="290"/>
      <c r="T301" s="290"/>
      <c r="U301" s="290"/>
      <c r="V301" s="290"/>
      <c r="W301" s="290"/>
      <c r="X301" s="290"/>
      <c r="Y301" s="290"/>
      <c r="Z301" s="290"/>
      <c r="AA301" s="290"/>
      <c r="AB301" s="290"/>
      <c r="AC301" s="290"/>
      <c r="AD301" s="291"/>
    </row>
    <row r="302" spans="1:30" ht="31" customHeight="1">
      <c r="A302" s="56"/>
      <c r="B302" s="56"/>
      <c r="C302" s="56"/>
      <c r="D302" s="24" t="s">
        <v>737</v>
      </c>
      <c r="E302" s="42">
        <v>0</v>
      </c>
      <c r="F302" s="42">
        <v>0</v>
      </c>
      <c r="G302" s="42">
        <v>0</v>
      </c>
      <c r="H302" s="42">
        <v>0</v>
      </c>
      <c r="I302" s="42">
        <v>0</v>
      </c>
      <c r="J302" s="42"/>
      <c r="K302" s="42"/>
      <c r="L302" s="42"/>
      <c r="M302" s="150">
        <f t="shared" si="12"/>
        <v>0</v>
      </c>
      <c r="N302" s="45" t="s">
        <v>78</v>
      </c>
      <c r="O302" s="45" t="s">
        <v>723</v>
      </c>
      <c r="P302" s="289" t="s">
        <v>337</v>
      </c>
      <c r="Q302" s="290"/>
      <c r="R302" s="290"/>
      <c r="S302" s="290"/>
      <c r="T302" s="290"/>
      <c r="U302" s="290"/>
      <c r="V302" s="290"/>
      <c r="W302" s="290"/>
      <c r="X302" s="290"/>
      <c r="Y302" s="290"/>
      <c r="Z302" s="290"/>
      <c r="AA302" s="290"/>
      <c r="AB302" s="290"/>
      <c r="AC302" s="290"/>
      <c r="AD302" s="291"/>
    </row>
    <row r="303" spans="1:30" ht="16.5" customHeight="1">
      <c r="A303" s="56"/>
      <c r="B303" s="56"/>
      <c r="C303" s="56"/>
      <c r="D303" s="24" t="s">
        <v>738</v>
      </c>
      <c r="E303" s="42">
        <v>0</v>
      </c>
      <c r="F303" s="42">
        <v>0</v>
      </c>
      <c r="G303" s="42">
        <v>0</v>
      </c>
      <c r="H303" s="42">
        <v>0</v>
      </c>
      <c r="I303" s="42">
        <v>0</v>
      </c>
      <c r="J303" s="42">
        <v>0</v>
      </c>
      <c r="K303" s="42">
        <v>0</v>
      </c>
      <c r="L303" s="42">
        <v>0</v>
      </c>
      <c r="M303" s="150">
        <f t="shared" si="12"/>
        <v>0</v>
      </c>
      <c r="N303" s="45" t="s">
        <v>80</v>
      </c>
      <c r="O303" s="45" t="s">
        <v>724</v>
      </c>
      <c r="P303" s="289" t="s">
        <v>338</v>
      </c>
      <c r="Q303" s="290"/>
      <c r="R303" s="290"/>
      <c r="S303" s="290"/>
      <c r="T303" s="290"/>
      <c r="U303" s="290"/>
      <c r="V303" s="290"/>
      <c r="W303" s="290"/>
      <c r="X303" s="290"/>
      <c r="Y303" s="290"/>
      <c r="Z303" s="290"/>
      <c r="AA303" s="290"/>
      <c r="AB303" s="290"/>
      <c r="AC303" s="290"/>
      <c r="AD303" s="291"/>
    </row>
    <row r="304" spans="1:30" ht="16.5" customHeight="1">
      <c r="A304" s="56"/>
      <c r="B304" s="56"/>
      <c r="C304" s="56"/>
      <c r="D304" s="24" t="s">
        <v>739</v>
      </c>
      <c r="E304" s="42">
        <v>0</v>
      </c>
      <c r="F304" s="42">
        <v>0</v>
      </c>
      <c r="G304" s="42">
        <v>0</v>
      </c>
      <c r="H304" s="42">
        <v>0</v>
      </c>
      <c r="I304" s="42">
        <v>0</v>
      </c>
      <c r="J304" s="42">
        <v>0</v>
      </c>
      <c r="K304" s="42">
        <v>0</v>
      </c>
      <c r="L304" s="42">
        <v>0</v>
      </c>
      <c r="M304" s="150">
        <f t="shared" si="12"/>
        <v>0</v>
      </c>
      <c r="N304" s="45" t="s">
        <v>82</v>
      </c>
      <c r="O304" s="45" t="s">
        <v>725</v>
      </c>
      <c r="P304" s="289" t="s">
        <v>339</v>
      </c>
      <c r="Q304" s="290"/>
      <c r="R304" s="290"/>
      <c r="S304" s="290"/>
      <c r="T304" s="290"/>
      <c r="U304" s="290"/>
      <c r="V304" s="290"/>
      <c r="W304" s="290"/>
      <c r="X304" s="290"/>
      <c r="Y304" s="290"/>
      <c r="Z304" s="290"/>
      <c r="AA304" s="290"/>
      <c r="AB304" s="290"/>
      <c r="AC304" s="290"/>
      <c r="AD304" s="291"/>
    </row>
    <row r="305" spans="1:30" ht="16.5" customHeight="1">
      <c r="A305" s="56"/>
      <c r="B305" s="56"/>
      <c r="C305" s="56"/>
      <c r="D305" s="24" t="s">
        <v>740</v>
      </c>
      <c r="E305" s="42">
        <v>0</v>
      </c>
      <c r="F305" s="42">
        <v>0</v>
      </c>
      <c r="G305" s="42">
        <v>0</v>
      </c>
      <c r="H305" s="42">
        <v>0</v>
      </c>
      <c r="I305" s="42">
        <v>0</v>
      </c>
      <c r="J305" s="42">
        <v>0</v>
      </c>
      <c r="K305" s="42">
        <v>0</v>
      </c>
      <c r="L305" s="42">
        <v>0</v>
      </c>
      <c r="M305" s="150">
        <f t="shared" si="12"/>
        <v>0</v>
      </c>
      <c r="N305" s="45" t="s">
        <v>84</v>
      </c>
      <c r="O305" s="45" t="s">
        <v>726</v>
      </c>
      <c r="P305" s="14"/>
    </row>
    <row r="306" spans="1:30" ht="16.5" customHeight="1">
      <c r="A306" s="56"/>
      <c r="B306" s="56"/>
      <c r="C306" s="56"/>
      <c r="D306" s="24" t="s">
        <v>549</v>
      </c>
      <c r="E306" s="42">
        <v>0</v>
      </c>
      <c r="F306" s="42">
        <v>0</v>
      </c>
      <c r="G306" s="42">
        <v>0</v>
      </c>
      <c r="H306" s="42">
        <v>0</v>
      </c>
      <c r="I306" s="42">
        <v>0</v>
      </c>
      <c r="J306" s="42">
        <v>0</v>
      </c>
      <c r="K306" s="42">
        <v>0</v>
      </c>
      <c r="L306" s="42">
        <v>0</v>
      </c>
      <c r="M306" s="150">
        <f t="shared" si="12"/>
        <v>0</v>
      </c>
      <c r="N306" s="45" t="s">
        <v>86</v>
      </c>
      <c r="O306" s="45" t="s">
        <v>727</v>
      </c>
      <c r="P306" s="14"/>
    </row>
    <row r="307" spans="1:30" ht="86" customHeight="1">
      <c r="A307" s="56"/>
      <c r="B307" s="56"/>
      <c r="C307" s="56"/>
      <c r="D307" s="24" t="s">
        <v>741</v>
      </c>
      <c r="E307" s="42">
        <v>0</v>
      </c>
      <c r="F307" s="42">
        <v>0</v>
      </c>
      <c r="G307" s="42">
        <v>0</v>
      </c>
      <c r="H307" s="42">
        <v>0</v>
      </c>
      <c r="I307" s="42">
        <v>0</v>
      </c>
      <c r="J307" s="42">
        <v>0</v>
      </c>
      <c r="K307" s="42">
        <v>0</v>
      </c>
      <c r="L307" s="42">
        <v>0</v>
      </c>
      <c r="M307" s="150">
        <f t="shared" si="12"/>
        <v>0</v>
      </c>
      <c r="N307" s="45" t="s">
        <v>88</v>
      </c>
      <c r="O307" s="45" t="s">
        <v>340</v>
      </c>
      <c r="P307" s="289" t="s">
        <v>341</v>
      </c>
      <c r="Q307" s="290"/>
      <c r="R307" s="290"/>
      <c r="S307" s="290"/>
      <c r="T307" s="290"/>
      <c r="U307" s="290"/>
      <c r="V307" s="290"/>
      <c r="W307" s="290"/>
      <c r="X307" s="290"/>
      <c r="Y307" s="290"/>
      <c r="Z307" s="290"/>
      <c r="AA307" s="290"/>
      <c r="AB307" s="290"/>
      <c r="AC307" s="290"/>
      <c r="AD307" s="291"/>
    </row>
    <row r="308" spans="1:30" ht="71.5" customHeight="1">
      <c r="A308" s="56"/>
      <c r="B308" s="56"/>
      <c r="C308" s="56"/>
      <c r="D308" s="24" t="s">
        <v>742</v>
      </c>
      <c r="E308" s="42">
        <v>0</v>
      </c>
      <c r="F308" s="42">
        <v>0</v>
      </c>
      <c r="G308" s="42">
        <v>0</v>
      </c>
      <c r="H308" s="42">
        <v>0</v>
      </c>
      <c r="I308" s="42">
        <v>0</v>
      </c>
      <c r="J308" s="42">
        <v>0</v>
      </c>
      <c r="K308" s="42">
        <v>0</v>
      </c>
      <c r="L308" s="42">
        <v>0</v>
      </c>
      <c r="M308" s="150">
        <f t="shared" si="12"/>
        <v>0</v>
      </c>
      <c r="N308" s="45" t="s">
        <v>90</v>
      </c>
      <c r="O308" s="45" t="s">
        <v>728</v>
      </c>
      <c r="P308" s="289" t="s">
        <v>342</v>
      </c>
      <c r="Q308" s="290"/>
      <c r="R308" s="290"/>
      <c r="S308" s="290"/>
      <c r="T308" s="290"/>
      <c r="U308" s="290"/>
      <c r="V308" s="290"/>
      <c r="W308" s="290"/>
      <c r="X308" s="290"/>
      <c r="Y308" s="290"/>
      <c r="Z308" s="290"/>
      <c r="AA308" s="290"/>
      <c r="AB308" s="290"/>
      <c r="AC308" s="290"/>
      <c r="AD308" s="291"/>
    </row>
    <row r="309" spans="1:30" ht="16.5" customHeight="1">
      <c r="A309" s="56"/>
      <c r="B309" s="56"/>
      <c r="C309" s="56"/>
      <c r="D309" s="24" t="s">
        <v>743</v>
      </c>
      <c r="E309" s="42">
        <v>0</v>
      </c>
      <c r="F309" s="42">
        <v>0</v>
      </c>
      <c r="G309" s="42">
        <v>0</v>
      </c>
      <c r="H309" s="42">
        <v>0</v>
      </c>
      <c r="I309" s="42">
        <v>0</v>
      </c>
      <c r="J309" s="42">
        <v>0</v>
      </c>
      <c r="K309" s="42">
        <v>0</v>
      </c>
      <c r="L309" s="42">
        <v>0</v>
      </c>
      <c r="M309" s="150">
        <f t="shared" si="12"/>
        <v>0</v>
      </c>
      <c r="N309" s="45" t="s">
        <v>92</v>
      </c>
      <c r="O309" s="45" t="s">
        <v>344</v>
      </c>
      <c r="P309" s="14"/>
    </row>
    <row r="310" spans="1:30" ht="31">
      <c r="A310" s="56"/>
      <c r="B310" s="56"/>
      <c r="C310" s="56"/>
      <c r="D310" s="24" t="s">
        <v>744</v>
      </c>
      <c r="E310" s="42">
        <v>0</v>
      </c>
      <c r="F310" s="42">
        <v>0</v>
      </c>
      <c r="G310" s="42">
        <v>0</v>
      </c>
      <c r="H310" s="42">
        <v>0</v>
      </c>
      <c r="I310" s="42">
        <v>0</v>
      </c>
      <c r="J310" s="42"/>
      <c r="K310" s="42"/>
      <c r="L310" s="42"/>
      <c r="M310" s="150">
        <f t="shared" si="12"/>
        <v>0</v>
      </c>
      <c r="N310" s="45" t="s">
        <v>91</v>
      </c>
      <c r="O310" s="45" t="s">
        <v>729</v>
      </c>
      <c r="P310" s="289" t="s">
        <v>345</v>
      </c>
      <c r="Q310" s="290"/>
      <c r="R310" s="290"/>
      <c r="S310" s="290"/>
      <c r="T310" s="290"/>
      <c r="U310" s="290"/>
      <c r="V310" s="290"/>
      <c r="W310" s="290"/>
      <c r="X310" s="290"/>
      <c r="Y310" s="290"/>
      <c r="Z310" s="290"/>
      <c r="AA310" s="290"/>
      <c r="AB310" s="290"/>
      <c r="AC310" s="290"/>
      <c r="AD310" s="291"/>
    </row>
    <row r="311" spans="1:30" ht="16.5" customHeight="1" thickBot="1">
      <c r="A311" s="56"/>
      <c r="B311" s="56"/>
      <c r="C311" s="56"/>
      <c r="D311" s="176" t="s">
        <v>347</v>
      </c>
      <c r="E311" s="171">
        <f t="shared" ref="E311:M311" si="13">+E292+SUM(E294:E310)</f>
        <v>234567</v>
      </c>
      <c r="F311" s="171">
        <f t="shared" si="13"/>
        <v>0</v>
      </c>
      <c r="G311" s="171">
        <f>+G292+SUM(G294:G310)</f>
        <v>0</v>
      </c>
      <c r="H311" s="171">
        <f t="shared" si="13"/>
        <v>0</v>
      </c>
      <c r="I311" s="171">
        <f t="shared" si="13"/>
        <v>0</v>
      </c>
      <c r="J311" s="171">
        <f t="shared" si="13"/>
        <v>0</v>
      </c>
      <c r="K311" s="171">
        <f t="shared" si="13"/>
        <v>0</v>
      </c>
      <c r="L311" s="171">
        <f t="shared" si="13"/>
        <v>0</v>
      </c>
      <c r="M311" s="164">
        <f t="shared" si="13"/>
        <v>234567</v>
      </c>
      <c r="N311" s="45" t="s">
        <v>14</v>
      </c>
      <c r="O311" s="45" t="s">
        <v>346</v>
      </c>
    </row>
    <row r="312" spans="1:30" ht="16" thickBot="1">
      <c r="A312" s="56"/>
      <c r="B312" s="56"/>
      <c r="C312" s="56"/>
      <c r="D312" s="7"/>
      <c r="E312" s="7"/>
      <c r="F312" s="7"/>
      <c r="G312" s="7"/>
      <c r="H312" s="7"/>
      <c r="I312" s="7"/>
      <c r="J312" s="7"/>
      <c r="K312" s="7"/>
    </row>
    <row r="313" spans="1:30" ht="16" thickBot="1">
      <c r="A313" s="56"/>
      <c r="B313" s="56"/>
      <c r="C313" s="56"/>
      <c r="D313" s="296" t="s">
        <v>745</v>
      </c>
      <c r="E313" s="297" t="s">
        <v>102</v>
      </c>
      <c r="F313" s="297"/>
      <c r="G313" s="297"/>
      <c r="H313" s="297"/>
      <c r="I313" s="297"/>
      <c r="J313" s="297"/>
      <c r="K313" s="297"/>
      <c r="L313" s="297"/>
      <c r="M313" s="298"/>
      <c r="N313" s="45"/>
      <c r="O313" s="45" t="s">
        <v>348</v>
      </c>
    </row>
    <row r="314" spans="1:30">
      <c r="A314" s="56"/>
      <c r="B314" s="56"/>
      <c r="C314" s="56"/>
      <c r="D314" s="168" t="s">
        <v>713</v>
      </c>
      <c r="E314" s="169" t="str">
        <f>+E291</f>
        <v>Nord Stream AG (Stateless Permanent Establishment Finland)</v>
      </c>
      <c r="F314" s="169">
        <f t="shared" ref="F314:L314" si="14">+F291</f>
        <v>0</v>
      </c>
      <c r="G314" s="169">
        <f t="shared" si="14"/>
        <v>0</v>
      </c>
      <c r="H314" s="169">
        <f t="shared" si="14"/>
        <v>0</v>
      </c>
      <c r="I314" s="169">
        <f t="shared" si="14"/>
        <v>0</v>
      </c>
      <c r="J314" s="169">
        <f t="shared" si="14"/>
        <v>0</v>
      </c>
      <c r="K314" s="169">
        <f t="shared" si="14"/>
        <v>0</v>
      </c>
      <c r="L314" s="169">
        <f t="shared" si="14"/>
        <v>0</v>
      </c>
      <c r="M314" s="170" t="str">
        <f>+M291</f>
        <v>Total amount</v>
      </c>
      <c r="N314" s="45" t="s">
        <v>245</v>
      </c>
      <c r="O314" s="45" t="s">
        <v>349</v>
      </c>
    </row>
    <row r="315" spans="1:30">
      <c r="A315" s="56"/>
      <c r="B315" s="56"/>
      <c r="C315" s="56"/>
      <c r="D315" s="161" t="s">
        <v>746</v>
      </c>
      <c r="E315" s="42">
        <v>234567</v>
      </c>
      <c r="F315" s="42">
        <v>0</v>
      </c>
      <c r="G315" s="42">
        <v>0</v>
      </c>
      <c r="H315" s="42">
        <v>0</v>
      </c>
      <c r="I315" s="42">
        <v>0</v>
      </c>
      <c r="J315" s="42">
        <v>0</v>
      </c>
      <c r="K315" s="42"/>
      <c r="L315" s="42"/>
      <c r="M315" s="150">
        <f>SUM(E315:L315)</f>
        <v>234567</v>
      </c>
      <c r="N315" s="45"/>
      <c r="O315" s="45" t="s">
        <v>350</v>
      </c>
    </row>
    <row r="316" spans="1:30">
      <c r="A316" s="56"/>
      <c r="B316" s="56"/>
      <c r="C316" s="56"/>
      <c r="D316" s="177" t="s">
        <v>710</v>
      </c>
      <c r="E316" s="42"/>
      <c r="F316" s="42"/>
      <c r="G316" s="42"/>
      <c r="H316" s="42"/>
      <c r="I316" s="42"/>
      <c r="J316" s="42"/>
      <c r="K316" s="42"/>
      <c r="L316" s="42"/>
      <c r="M316" s="150"/>
      <c r="N316" s="45" t="s">
        <v>289</v>
      </c>
      <c r="O316" s="45" t="s">
        <v>351</v>
      </c>
    </row>
    <row r="317" spans="1:30">
      <c r="A317" s="56"/>
      <c r="B317" s="56"/>
      <c r="C317" s="56"/>
      <c r="D317" s="161" t="s">
        <v>701</v>
      </c>
      <c r="E317" s="42" t="s">
        <v>714</v>
      </c>
      <c r="F317" s="42" t="s">
        <v>714</v>
      </c>
      <c r="G317" s="42" t="s">
        <v>714</v>
      </c>
      <c r="H317" s="42" t="s">
        <v>714</v>
      </c>
      <c r="I317" s="42" t="s">
        <v>714</v>
      </c>
      <c r="J317" s="42" t="s">
        <v>714</v>
      </c>
      <c r="K317" s="42" t="s">
        <v>714</v>
      </c>
      <c r="L317" s="42" t="s">
        <v>714</v>
      </c>
      <c r="M317" s="150"/>
      <c r="N317" s="45" t="s">
        <v>291</v>
      </c>
      <c r="O317" s="45" t="s">
        <v>352</v>
      </c>
    </row>
    <row r="318" spans="1:30">
      <c r="A318" s="56"/>
      <c r="B318" s="56"/>
      <c r="C318" s="56"/>
      <c r="D318" s="161" t="s">
        <v>702</v>
      </c>
      <c r="E318" s="42" t="s">
        <v>716</v>
      </c>
      <c r="F318" s="42" t="s">
        <v>716</v>
      </c>
      <c r="G318" s="42" t="s">
        <v>716</v>
      </c>
      <c r="H318" s="42" t="s">
        <v>716</v>
      </c>
      <c r="I318" s="42" t="s">
        <v>716</v>
      </c>
      <c r="J318" s="42" t="s">
        <v>716</v>
      </c>
      <c r="K318" s="42" t="s">
        <v>716</v>
      </c>
      <c r="L318" s="42" t="s">
        <v>716</v>
      </c>
      <c r="M318" s="150"/>
      <c r="N318" s="45" t="s">
        <v>293</v>
      </c>
      <c r="O318" s="45" t="s">
        <v>353</v>
      </c>
    </row>
    <row r="319" spans="1:30">
      <c r="A319" s="56"/>
      <c r="B319" s="56"/>
      <c r="C319" s="56"/>
      <c r="D319" s="161" t="s">
        <v>703</v>
      </c>
      <c r="E319" s="42">
        <v>0</v>
      </c>
      <c r="F319" s="42">
        <v>0</v>
      </c>
      <c r="G319" s="42">
        <v>0</v>
      </c>
      <c r="H319" s="42">
        <v>0</v>
      </c>
      <c r="I319" s="42">
        <v>0</v>
      </c>
      <c r="J319" s="42"/>
      <c r="K319" s="42"/>
      <c r="L319" s="42"/>
      <c r="M319" s="150">
        <f>SUM(E319:L319)</f>
        <v>0</v>
      </c>
      <c r="N319" s="45" t="s">
        <v>295</v>
      </c>
      <c r="O319" s="45" t="s">
        <v>354</v>
      </c>
    </row>
    <row r="320" spans="1:30">
      <c r="A320" s="56"/>
      <c r="B320" s="56"/>
      <c r="C320" s="56"/>
      <c r="D320" s="161" t="s">
        <v>704</v>
      </c>
      <c r="E320" s="42">
        <v>0</v>
      </c>
      <c r="F320" s="42">
        <v>0</v>
      </c>
      <c r="G320" s="42">
        <v>0</v>
      </c>
      <c r="H320" s="42">
        <v>0</v>
      </c>
      <c r="I320" s="42">
        <v>0</v>
      </c>
      <c r="J320" s="42"/>
      <c r="K320" s="42"/>
      <c r="L320" s="42"/>
      <c r="M320" s="150">
        <f>SUM(E320:L320)</f>
        <v>0</v>
      </c>
      <c r="N320" s="45" t="s">
        <v>297</v>
      </c>
      <c r="O320" s="45" t="s">
        <v>355</v>
      </c>
    </row>
    <row r="321" spans="1:30" ht="16" thickBot="1">
      <c r="A321" s="56"/>
      <c r="B321" s="56"/>
      <c r="C321" s="56"/>
      <c r="D321" s="178" t="s">
        <v>747</v>
      </c>
      <c r="E321" s="179">
        <f>+E315+E319+E320</f>
        <v>234567</v>
      </c>
      <c r="F321" s="179">
        <f t="shared" ref="F321:L321" si="15">+F315+F319+F320</f>
        <v>0</v>
      </c>
      <c r="G321" s="179">
        <f t="shared" si="15"/>
        <v>0</v>
      </c>
      <c r="H321" s="179">
        <f t="shared" si="15"/>
        <v>0</v>
      </c>
      <c r="I321" s="179">
        <f t="shared" si="15"/>
        <v>0</v>
      </c>
      <c r="J321" s="179">
        <f t="shared" si="15"/>
        <v>0</v>
      </c>
      <c r="K321" s="179">
        <f t="shared" si="15"/>
        <v>0</v>
      </c>
      <c r="L321" s="179">
        <f t="shared" si="15"/>
        <v>0</v>
      </c>
      <c r="M321" s="180">
        <f>+M315+M319+M320</f>
        <v>234567</v>
      </c>
      <c r="N321" s="45" t="s">
        <v>323</v>
      </c>
      <c r="O321" s="45"/>
    </row>
    <row r="322" spans="1:30" ht="16" thickBot="1">
      <c r="A322" s="56"/>
      <c r="B322" s="56"/>
      <c r="C322" s="56"/>
      <c r="D322" s="7"/>
      <c r="E322" s="7"/>
      <c r="F322" s="7"/>
      <c r="G322" s="7"/>
      <c r="H322" s="7"/>
      <c r="I322" s="7"/>
      <c r="J322" s="7"/>
      <c r="K322" s="7"/>
    </row>
    <row r="323" spans="1:30" ht="16" thickBot="1">
      <c r="A323" s="56"/>
      <c r="B323" s="56"/>
      <c r="C323" s="56"/>
      <c r="D323" s="296" t="s">
        <v>808</v>
      </c>
      <c r="E323" s="297"/>
      <c r="F323" s="297"/>
      <c r="G323" s="297"/>
      <c r="H323" s="297"/>
      <c r="I323" s="297"/>
      <c r="J323" s="297"/>
      <c r="K323" s="297"/>
      <c r="L323" s="297"/>
      <c r="M323" s="298"/>
      <c r="N323" s="45"/>
      <c r="O323" s="45" t="s">
        <v>356</v>
      </c>
    </row>
    <row r="324" spans="1:30">
      <c r="A324" s="56"/>
      <c r="B324" s="56"/>
      <c r="C324" s="56"/>
      <c r="D324" s="174" t="s">
        <v>247</v>
      </c>
      <c r="E324" s="169" t="str">
        <f>+E314</f>
        <v>Nord Stream AG (Stateless Permanent Establishment Finland)</v>
      </c>
      <c r="F324" s="169">
        <f t="shared" ref="F324:M324" si="16">+F314</f>
        <v>0</v>
      </c>
      <c r="G324" s="169">
        <f t="shared" si="16"/>
        <v>0</v>
      </c>
      <c r="H324" s="169">
        <f t="shared" si="16"/>
        <v>0</v>
      </c>
      <c r="I324" s="169">
        <f t="shared" si="16"/>
        <v>0</v>
      </c>
      <c r="J324" s="169">
        <f t="shared" si="16"/>
        <v>0</v>
      </c>
      <c r="K324" s="169">
        <f t="shared" si="16"/>
        <v>0</v>
      </c>
      <c r="L324" s="169">
        <f t="shared" si="16"/>
        <v>0</v>
      </c>
      <c r="M324" s="170" t="str">
        <f t="shared" si="16"/>
        <v>Total amount</v>
      </c>
      <c r="N324" s="45" t="s">
        <v>245</v>
      </c>
      <c r="O324" s="45" t="s">
        <v>357</v>
      </c>
    </row>
    <row r="325" spans="1:30">
      <c r="A325" s="56"/>
      <c r="B325" s="56"/>
      <c r="C325" s="56"/>
      <c r="D325" s="175" t="s">
        <v>765</v>
      </c>
      <c r="E325" s="42">
        <v>2343</v>
      </c>
      <c r="F325" s="42">
        <v>0</v>
      </c>
      <c r="G325" s="42">
        <v>0</v>
      </c>
      <c r="H325" s="42">
        <v>0</v>
      </c>
      <c r="I325" s="42">
        <v>0</v>
      </c>
      <c r="J325" s="42"/>
      <c r="K325" s="42"/>
      <c r="L325" s="42"/>
      <c r="M325" s="150">
        <f>SUM(E325:L325)</f>
        <v>2343</v>
      </c>
      <c r="N325" s="45" t="s">
        <v>118</v>
      </c>
      <c r="O325" s="45" t="s">
        <v>358</v>
      </c>
    </row>
    <row r="326" spans="1:30">
      <c r="A326" s="56"/>
      <c r="B326" s="56"/>
      <c r="C326" s="56"/>
      <c r="D326" s="300" t="s">
        <v>766</v>
      </c>
      <c r="E326" s="301"/>
      <c r="F326" s="301"/>
      <c r="G326" s="301"/>
      <c r="H326" s="301"/>
      <c r="I326" s="301"/>
      <c r="J326" s="301"/>
      <c r="K326" s="301"/>
      <c r="L326" s="375"/>
      <c r="M326" s="183"/>
      <c r="N326" s="45" t="s">
        <v>137</v>
      </c>
      <c r="O326" s="45" t="s">
        <v>359</v>
      </c>
    </row>
    <row r="327" spans="1:30" ht="33" customHeight="1">
      <c r="A327" s="56"/>
      <c r="B327" s="56"/>
      <c r="C327" s="56"/>
      <c r="D327" s="23" t="s">
        <v>592</v>
      </c>
      <c r="E327" s="42">
        <v>0</v>
      </c>
      <c r="F327" s="42">
        <v>0</v>
      </c>
      <c r="G327" s="42">
        <v>0</v>
      </c>
      <c r="H327" s="42">
        <v>0</v>
      </c>
      <c r="I327" s="42">
        <v>0</v>
      </c>
      <c r="J327" s="42"/>
      <c r="K327" s="42"/>
      <c r="L327" s="42"/>
      <c r="M327" s="150">
        <f t="shared" ref="M327:M342" si="17">SUM(E327:L327)</f>
        <v>0</v>
      </c>
      <c r="N327" s="45" t="s">
        <v>141</v>
      </c>
      <c r="O327" s="45" t="s">
        <v>749</v>
      </c>
      <c r="P327" s="372" t="s">
        <v>360</v>
      </c>
      <c r="Q327" s="373"/>
      <c r="R327" s="373"/>
      <c r="S327" s="373"/>
      <c r="T327" s="373"/>
      <c r="U327" s="373"/>
      <c r="V327" s="373"/>
      <c r="W327" s="373"/>
      <c r="X327" s="373"/>
      <c r="Y327" s="373"/>
      <c r="Z327" s="373"/>
      <c r="AA327" s="373"/>
      <c r="AB327" s="373"/>
      <c r="AC327" s="373"/>
      <c r="AD327" s="374"/>
    </row>
    <row r="328" spans="1:30" ht="28" customHeight="1">
      <c r="A328" s="56"/>
      <c r="B328" s="56"/>
      <c r="C328" s="56"/>
      <c r="D328" s="23" t="s">
        <v>604</v>
      </c>
      <c r="E328" s="42">
        <v>0</v>
      </c>
      <c r="F328" s="42">
        <v>0</v>
      </c>
      <c r="G328" s="42">
        <v>0</v>
      </c>
      <c r="H328" s="42">
        <v>0</v>
      </c>
      <c r="I328" s="42">
        <v>0</v>
      </c>
      <c r="J328" s="42"/>
      <c r="K328" s="42"/>
      <c r="L328" s="42"/>
      <c r="M328" s="150">
        <f t="shared" si="17"/>
        <v>0</v>
      </c>
      <c r="N328" s="45" t="s">
        <v>142</v>
      </c>
      <c r="O328" s="45" t="s">
        <v>750</v>
      </c>
      <c r="P328" s="372" t="s">
        <v>748</v>
      </c>
      <c r="Q328" s="373"/>
      <c r="R328" s="373"/>
      <c r="S328" s="373"/>
      <c r="T328" s="373"/>
      <c r="U328" s="373"/>
      <c r="V328" s="373"/>
      <c r="W328" s="373"/>
      <c r="X328" s="373"/>
      <c r="Y328" s="373"/>
      <c r="Z328" s="373"/>
      <c r="AA328" s="373"/>
      <c r="AB328" s="373"/>
      <c r="AC328" s="373"/>
      <c r="AD328" s="374"/>
    </row>
    <row r="329" spans="1:30" ht="15.5" customHeight="1">
      <c r="A329" s="56"/>
      <c r="B329" s="56"/>
      <c r="C329" s="56"/>
      <c r="D329" s="23" t="s">
        <v>605</v>
      </c>
      <c r="E329" s="42">
        <v>0</v>
      </c>
      <c r="F329" s="42">
        <v>0</v>
      </c>
      <c r="G329" s="42">
        <v>0</v>
      </c>
      <c r="H329" s="42">
        <v>0</v>
      </c>
      <c r="I329" s="42">
        <v>0</v>
      </c>
      <c r="J329" s="42"/>
      <c r="K329" s="42"/>
      <c r="L329" s="42"/>
      <c r="M329" s="150">
        <f t="shared" si="17"/>
        <v>0</v>
      </c>
      <c r="N329" s="45" t="s">
        <v>143</v>
      </c>
      <c r="O329" s="45" t="s">
        <v>751</v>
      </c>
      <c r="P329" s="372" t="s">
        <v>748</v>
      </c>
      <c r="Q329" s="373"/>
      <c r="R329" s="373"/>
      <c r="S329" s="373"/>
      <c r="T329" s="373"/>
      <c r="U329" s="373"/>
      <c r="V329" s="373"/>
      <c r="W329" s="373"/>
      <c r="X329" s="373"/>
      <c r="Y329" s="373"/>
      <c r="Z329" s="373"/>
      <c r="AA329" s="373"/>
      <c r="AB329" s="373"/>
      <c r="AC329" s="373"/>
      <c r="AD329" s="374"/>
    </row>
    <row r="330" spans="1:30" ht="15.5" customHeight="1">
      <c r="A330" s="56"/>
      <c r="B330" s="56"/>
      <c r="C330" s="56"/>
      <c r="D330" s="23" t="s">
        <v>593</v>
      </c>
      <c r="E330" s="42">
        <v>0</v>
      </c>
      <c r="F330" s="42">
        <v>0</v>
      </c>
      <c r="G330" s="42">
        <v>0</v>
      </c>
      <c r="H330" s="42">
        <v>0</v>
      </c>
      <c r="I330" s="42">
        <v>0</v>
      </c>
      <c r="J330" s="42"/>
      <c r="K330" s="42"/>
      <c r="L330" s="42"/>
      <c r="M330" s="150">
        <f t="shared" si="17"/>
        <v>0</v>
      </c>
      <c r="N330" s="45" t="s">
        <v>144</v>
      </c>
      <c r="O330" s="45" t="s">
        <v>752</v>
      </c>
      <c r="P330" s="372" t="s">
        <v>361</v>
      </c>
      <c r="Q330" s="373"/>
      <c r="R330" s="373"/>
      <c r="S330" s="373"/>
      <c r="T330" s="373"/>
      <c r="U330" s="373"/>
      <c r="V330" s="373"/>
      <c r="W330" s="373"/>
      <c r="X330" s="373"/>
      <c r="Y330" s="373"/>
      <c r="Z330" s="373"/>
      <c r="AA330" s="373"/>
      <c r="AB330" s="373"/>
      <c r="AC330" s="373"/>
      <c r="AD330" s="374"/>
    </row>
    <row r="331" spans="1:30" ht="15.5" customHeight="1">
      <c r="A331" s="56"/>
      <c r="B331" s="56"/>
      <c r="C331" s="56"/>
      <c r="D331" s="23" t="s">
        <v>594</v>
      </c>
      <c r="E331" s="42">
        <v>0</v>
      </c>
      <c r="F331" s="42">
        <v>0</v>
      </c>
      <c r="G331" s="42">
        <v>0</v>
      </c>
      <c r="H331" s="42">
        <v>0</v>
      </c>
      <c r="I331" s="42">
        <v>0</v>
      </c>
      <c r="J331" s="42"/>
      <c r="K331" s="42"/>
      <c r="L331" s="42"/>
      <c r="M331" s="150">
        <f t="shared" si="17"/>
        <v>0</v>
      </c>
      <c r="N331" s="45" t="s">
        <v>145</v>
      </c>
      <c r="O331" s="45" t="s">
        <v>753</v>
      </c>
      <c r="P331" s="372" t="s">
        <v>362</v>
      </c>
      <c r="Q331" s="373"/>
      <c r="R331" s="373"/>
      <c r="S331" s="373"/>
      <c r="T331" s="373"/>
      <c r="U331" s="373"/>
      <c r="V331" s="373"/>
      <c r="W331" s="373"/>
      <c r="X331" s="373"/>
      <c r="Y331" s="373"/>
      <c r="Z331" s="373"/>
      <c r="AA331" s="373"/>
      <c r="AB331" s="373"/>
      <c r="AC331" s="373"/>
      <c r="AD331" s="374"/>
    </row>
    <row r="332" spans="1:30" ht="31" customHeight="1">
      <c r="A332" s="56"/>
      <c r="B332" s="56"/>
      <c r="C332" s="56"/>
      <c r="D332" s="23" t="s">
        <v>595</v>
      </c>
      <c r="E332" s="42">
        <v>0</v>
      </c>
      <c r="F332" s="42">
        <v>0</v>
      </c>
      <c r="G332" s="42">
        <v>0</v>
      </c>
      <c r="H332" s="42">
        <v>0</v>
      </c>
      <c r="I332" s="42">
        <v>0</v>
      </c>
      <c r="J332" s="42"/>
      <c r="K332" s="42"/>
      <c r="L332" s="42"/>
      <c r="M332" s="150">
        <f t="shared" si="17"/>
        <v>0</v>
      </c>
      <c r="N332" s="45" t="s">
        <v>146</v>
      </c>
      <c r="O332" s="45" t="s">
        <v>754</v>
      </c>
      <c r="P332" s="325" t="s">
        <v>363</v>
      </c>
      <c r="Q332" s="326"/>
      <c r="R332" s="326"/>
      <c r="S332" s="326"/>
      <c r="T332" s="326"/>
      <c r="U332" s="326"/>
      <c r="V332" s="326"/>
      <c r="W332" s="326"/>
      <c r="X332" s="326"/>
      <c r="Y332" s="326"/>
      <c r="Z332" s="326"/>
      <c r="AA332" s="326"/>
      <c r="AB332" s="326"/>
      <c r="AC332" s="326"/>
      <c r="AD332" s="327"/>
    </row>
    <row r="333" spans="1:30" ht="88.5" customHeight="1">
      <c r="A333" s="56"/>
      <c r="B333" s="56"/>
      <c r="C333" s="56"/>
      <c r="D333" s="23" t="s">
        <v>596</v>
      </c>
      <c r="E333" s="42">
        <v>0</v>
      </c>
      <c r="F333" s="42">
        <v>0</v>
      </c>
      <c r="G333" s="42">
        <v>0</v>
      </c>
      <c r="H333" s="42">
        <v>0</v>
      </c>
      <c r="I333" s="42">
        <v>0</v>
      </c>
      <c r="J333" s="42"/>
      <c r="K333" s="42"/>
      <c r="L333" s="42"/>
      <c r="M333" s="150">
        <f t="shared" si="17"/>
        <v>0</v>
      </c>
      <c r="N333" s="45" t="s">
        <v>148</v>
      </c>
      <c r="O333" s="45" t="s">
        <v>755</v>
      </c>
      <c r="P333" s="325" t="s">
        <v>364</v>
      </c>
      <c r="Q333" s="326"/>
      <c r="R333" s="326"/>
      <c r="S333" s="326"/>
      <c r="T333" s="326"/>
      <c r="U333" s="326"/>
      <c r="V333" s="326"/>
      <c r="W333" s="326"/>
      <c r="X333" s="326"/>
      <c r="Y333" s="326"/>
      <c r="Z333" s="326"/>
      <c r="AA333" s="326"/>
      <c r="AB333" s="326"/>
      <c r="AC333" s="326"/>
      <c r="AD333" s="327"/>
    </row>
    <row r="334" spans="1:30" ht="33" customHeight="1">
      <c r="A334" s="56"/>
      <c r="B334" s="56"/>
      <c r="C334" s="56"/>
      <c r="D334" s="23" t="s">
        <v>597</v>
      </c>
      <c r="E334" s="42">
        <v>0</v>
      </c>
      <c r="F334" s="42">
        <v>0</v>
      </c>
      <c r="G334" s="42">
        <v>0</v>
      </c>
      <c r="H334" s="42">
        <v>0</v>
      </c>
      <c r="I334" s="42">
        <v>0</v>
      </c>
      <c r="J334" s="42"/>
      <c r="K334" s="42"/>
      <c r="L334" s="42"/>
      <c r="M334" s="150">
        <f t="shared" si="17"/>
        <v>0</v>
      </c>
      <c r="N334" s="45" t="s">
        <v>150</v>
      </c>
      <c r="O334" s="45" t="s">
        <v>756</v>
      </c>
      <c r="P334" s="325" t="s">
        <v>365</v>
      </c>
      <c r="Q334" s="326"/>
      <c r="R334" s="326"/>
      <c r="S334" s="326"/>
      <c r="T334" s="326"/>
      <c r="U334" s="326"/>
      <c r="V334" s="326"/>
      <c r="W334" s="326"/>
      <c r="X334" s="326"/>
      <c r="Y334" s="326"/>
      <c r="Z334" s="326"/>
      <c r="AA334" s="326"/>
      <c r="AB334" s="326"/>
      <c r="AC334" s="326"/>
      <c r="AD334" s="327"/>
    </row>
    <row r="335" spans="1:30" ht="15.5" customHeight="1">
      <c r="A335" s="56"/>
      <c r="B335" s="56"/>
      <c r="C335" s="56"/>
      <c r="D335" s="23" t="s">
        <v>598</v>
      </c>
      <c r="E335" s="42">
        <v>0</v>
      </c>
      <c r="F335" s="42">
        <v>0</v>
      </c>
      <c r="G335" s="42">
        <v>0</v>
      </c>
      <c r="H335" s="42">
        <v>0</v>
      </c>
      <c r="I335" s="42">
        <v>0</v>
      </c>
      <c r="J335" s="42">
        <v>0</v>
      </c>
      <c r="K335" s="42">
        <v>0</v>
      </c>
      <c r="L335" s="42">
        <v>0</v>
      </c>
      <c r="M335" s="150">
        <f t="shared" si="17"/>
        <v>0</v>
      </c>
      <c r="N335" s="45" t="s">
        <v>151</v>
      </c>
      <c r="O335" s="45" t="s">
        <v>757</v>
      </c>
      <c r="P335" s="325" t="s">
        <v>366</v>
      </c>
      <c r="Q335" s="326"/>
      <c r="R335" s="326"/>
      <c r="S335" s="326"/>
      <c r="T335" s="326"/>
      <c r="U335" s="326"/>
      <c r="V335" s="326"/>
      <c r="W335" s="326"/>
      <c r="X335" s="326"/>
      <c r="Y335" s="326"/>
      <c r="Z335" s="326"/>
      <c r="AA335" s="326"/>
      <c r="AB335" s="326"/>
      <c r="AC335" s="326"/>
      <c r="AD335" s="327"/>
    </row>
    <row r="336" spans="1:30" ht="48" customHeight="1">
      <c r="A336" s="56"/>
      <c r="B336" s="56"/>
      <c r="C336" s="56"/>
      <c r="D336" s="23" t="s">
        <v>599</v>
      </c>
      <c r="E336" s="42">
        <v>0</v>
      </c>
      <c r="F336" s="42">
        <v>0</v>
      </c>
      <c r="G336" s="42">
        <v>0</v>
      </c>
      <c r="H336" s="42">
        <v>0</v>
      </c>
      <c r="I336" s="42">
        <v>0</v>
      </c>
      <c r="J336" s="42"/>
      <c r="K336" s="42"/>
      <c r="L336" s="42"/>
      <c r="M336" s="150">
        <f t="shared" si="17"/>
        <v>0</v>
      </c>
      <c r="N336" s="45" t="s">
        <v>152</v>
      </c>
      <c r="O336" s="45" t="s">
        <v>758</v>
      </c>
      <c r="P336" s="325" t="s">
        <v>367</v>
      </c>
      <c r="Q336" s="326"/>
      <c r="R336" s="326"/>
      <c r="S336" s="326"/>
      <c r="T336" s="326"/>
      <c r="U336" s="326"/>
      <c r="V336" s="326"/>
      <c r="W336" s="326"/>
      <c r="X336" s="326"/>
      <c r="Y336" s="326"/>
      <c r="Z336" s="326"/>
      <c r="AA336" s="326"/>
      <c r="AB336" s="326"/>
      <c r="AC336" s="326"/>
      <c r="AD336" s="327"/>
    </row>
    <row r="337" spans="1:30" ht="30.5" customHeight="1">
      <c r="A337" s="56"/>
      <c r="B337" s="56"/>
      <c r="C337" s="56"/>
      <c r="D337" s="23" t="s">
        <v>606</v>
      </c>
      <c r="E337" s="42">
        <v>0</v>
      </c>
      <c r="F337" s="42">
        <v>0</v>
      </c>
      <c r="G337" s="42">
        <v>0</v>
      </c>
      <c r="H337" s="42">
        <v>0</v>
      </c>
      <c r="I337" s="42">
        <v>0</v>
      </c>
      <c r="J337" s="42"/>
      <c r="K337" s="42"/>
      <c r="L337" s="42"/>
      <c r="M337" s="150">
        <f t="shared" si="17"/>
        <v>0</v>
      </c>
      <c r="N337" s="45" t="s">
        <v>153</v>
      </c>
      <c r="O337" s="45" t="s">
        <v>759</v>
      </c>
      <c r="P337" s="325" t="s">
        <v>368</v>
      </c>
      <c r="Q337" s="326"/>
      <c r="R337" s="326"/>
      <c r="S337" s="326"/>
      <c r="T337" s="326"/>
      <c r="U337" s="326"/>
      <c r="V337" s="326"/>
      <c r="W337" s="326"/>
      <c r="X337" s="326"/>
      <c r="Y337" s="326"/>
      <c r="Z337" s="326"/>
      <c r="AA337" s="326"/>
      <c r="AB337" s="326"/>
      <c r="AC337" s="326"/>
      <c r="AD337" s="327"/>
    </row>
    <row r="338" spans="1:30" ht="33" customHeight="1">
      <c r="A338" s="56"/>
      <c r="B338" s="56"/>
      <c r="C338" s="56"/>
      <c r="D338" s="23" t="s">
        <v>607</v>
      </c>
      <c r="E338" s="42">
        <v>0</v>
      </c>
      <c r="F338" s="42">
        <v>0</v>
      </c>
      <c r="G338" s="42">
        <v>0</v>
      </c>
      <c r="H338" s="42">
        <v>0</v>
      </c>
      <c r="I338" s="42">
        <v>0</v>
      </c>
      <c r="J338" s="42"/>
      <c r="K338" s="42"/>
      <c r="L338" s="42"/>
      <c r="M338" s="150">
        <f t="shared" si="17"/>
        <v>0</v>
      </c>
      <c r="N338" s="45" t="s">
        <v>154</v>
      </c>
      <c r="O338" s="45" t="s">
        <v>760</v>
      </c>
      <c r="P338" s="325" t="s">
        <v>369</v>
      </c>
      <c r="Q338" s="326"/>
      <c r="R338" s="326"/>
      <c r="S338" s="326"/>
      <c r="T338" s="326"/>
      <c r="U338" s="326"/>
      <c r="V338" s="326"/>
      <c r="W338" s="326"/>
      <c r="X338" s="326"/>
      <c r="Y338" s="326"/>
      <c r="Z338" s="326"/>
      <c r="AA338" s="326"/>
      <c r="AB338" s="326"/>
      <c r="AC338" s="326"/>
      <c r="AD338" s="327"/>
    </row>
    <row r="339" spans="1:30">
      <c r="A339" s="56"/>
      <c r="B339" s="56"/>
      <c r="C339" s="56"/>
      <c r="D339" s="23" t="s">
        <v>600</v>
      </c>
      <c r="E339" s="42">
        <v>0</v>
      </c>
      <c r="F339" s="42">
        <v>0</v>
      </c>
      <c r="G339" s="42">
        <v>0</v>
      </c>
      <c r="H339" s="42">
        <v>0</v>
      </c>
      <c r="I339" s="42">
        <v>0</v>
      </c>
      <c r="J339" s="42"/>
      <c r="K339" s="42"/>
      <c r="L339" s="42"/>
      <c r="M339" s="150">
        <f t="shared" si="17"/>
        <v>0</v>
      </c>
      <c r="N339" s="45" t="s">
        <v>155</v>
      </c>
      <c r="O339" s="45" t="s">
        <v>761</v>
      </c>
      <c r="P339" s="7"/>
    </row>
    <row r="340" spans="1:30">
      <c r="A340" s="56"/>
      <c r="B340" s="56"/>
      <c r="C340" s="56"/>
      <c r="D340" s="23" t="s">
        <v>601</v>
      </c>
      <c r="E340" s="42">
        <v>0</v>
      </c>
      <c r="F340" s="42">
        <v>0</v>
      </c>
      <c r="G340" s="42">
        <v>0</v>
      </c>
      <c r="H340" s="42">
        <v>0</v>
      </c>
      <c r="I340" s="42">
        <v>0</v>
      </c>
      <c r="J340" s="42">
        <v>0</v>
      </c>
      <c r="K340" s="42">
        <v>0</v>
      </c>
      <c r="L340" s="42">
        <v>0</v>
      </c>
      <c r="M340" s="150">
        <f t="shared" si="17"/>
        <v>0</v>
      </c>
      <c r="N340" s="45" t="s">
        <v>156</v>
      </c>
      <c r="O340" s="45" t="s">
        <v>762</v>
      </c>
      <c r="P340" s="7"/>
    </row>
    <row r="341" spans="1:30">
      <c r="A341" s="56"/>
      <c r="B341" s="56"/>
      <c r="C341" s="56"/>
      <c r="D341" s="23" t="s">
        <v>602</v>
      </c>
      <c r="E341" s="42">
        <v>0</v>
      </c>
      <c r="F341" s="42">
        <v>0</v>
      </c>
      <c r="G341" s="42">
        <v>0</v>
      </c>
      <c r="H341" s="42">
        <v>0</v>
      </c>
      <c r="I341" s="42">
        <v>0</v>
      </c>
      <c r="J341" s="42">
        <v>0</v>
      </c>
      <c r="K341" s="42">
        <v>0</v>
      </c>
      <c r="L341" s="42">
        <v>0</v>
      </c>
      <c r="M341" s="150">
        <f>SUM(E341:L341)</f>
        <v>0</v>
      </c>
      <c r="N341" s="45" t="s">
        <v>157</v>
      </c>
      <c r="O341" s="45" t="s">
        <v>763</v>
      </c>
      <c r="P341" s="7"/>
    </row>
    <row r="342" spans="1:30" ht="15.5" customHeight="1">
      <c r="A342" s="56"/>
      <c r="B342" s="56"/>
      <c r="C342" s="56"/>
      <c r="D342" s="23" t="s">
        <v>603</v>
      </c>
      <c r="E342" s="42">
        <v>0</v>
      </c>
      <c r="F342" s="42">
        <v>0</v>
      </c>
      <c r="G342" s="42">
        <v>0</v>
      </c>
      <c r="H342" s="42">
        <v>0</v>
      </c>
      <c r="I342" s="42">
        <v>0</v>
      </c>
      <c r="J342" s="42">
        <v>0</v>
      </c>
      <c r="K342" s="42">
        <v>0</v>
      </c>
      <c r="L342" s="42">
        <v>0</v>
      </c>
      <c r="M342" s="150">
        <f t="shared" si="17"/>
        <v>0</v>
      </c>
      <c r="N342" s="45" t="s">
        <v>159</v>
      </c>
      <c r="O342" s="45" t="s">
        <v>764</v>
      </c>
      <c r="P342" s="7"/>
    </row>
    <row r="343" spans="1:30" ht="37" customHeight="1">
      <c r="A343" s="56"/>
      <c r="B343" s="56"/>
      <c r="C343" s="56"/>
      <c r="D343" s="175" t="s">
        <v>767</v>
      </c>
      <c r="E343" s="181">
        <f>E325+SUM(E327:E342)</f>
        <v>2343</v>
      </c>
      <c r="F343" s="181">
        <f t="shared" ref="F343:M343" si="18">F325+SUM(F327:F342)</f>
        <v>0</v>
      </c>
      <c r="G343" s="181">
        <f t="shared" si="18"/>
        <v>0</v>
      </c>
      <c r="H343" s="181">
        <f t="shared" si="18"/>
        <v>0</v>
      </c>
      <c r="I343" s="181">
        <f t="shared" si="18"/>
        <v>0</v>
      </c>
      <c r="J343" s="181">
        <f t="shared" si="18"/>
        <v>0</v>
      </c>
      <c r="K343" s="181">
        <f t="shared" si="18"/>
        <v>0</v>
      </c>
      <c r="L343" s="181">
        <f t="shared" si="18"/>
        <v>0</v>
      </c>
      <c r="M343" s="184">
        <f t="shared" si="18"/>
        <v>2343</v>
      </c>
      <c r="N343" s="45" t="s">
        <v>128</v>
      </c>
      <c r="O343" s="45" t="s">
        <v>359</v>
      </c>
      <c r="P343" s="325" t="s">
        <v>370</v>
      </c>
      <c r="Q343" s="326"/>
      <c r="R343" s="326"/>
      <c r="S343" s="326"/>
      <c r="T343" s="326"/>
      <c r="U343" s="326"/>
      <c r="V343" s="326"/>
      <c r="W343" s="326"/>
      <c r="X343" s="326"/>
      <c r="Y343" s="326"/>
      <c r="Z343" s="326"/>
      <c r="AA343" s="326"/>
      <c r="AB343" s="326"/>
      <c r="AC343" s="326"/>
      <c r="AD343" s="327"/>
    </row>
    <row r="344" spans="1:30">
      <c r="A344" s="56"/>
      <c r="B344" s="56"/>
      <c r="C344" s="56"/>
      <c r="D344" s="43" t="s">
        <v>768</v>
      </c>
      <c r="E344" s="42">
        <v>0</v>
      </c>
      <c r="F344" s="42">
        <v>0</v>
      </c>
      <c r="G344" s="42">
        <v>0</v>
      </c>
      <c r="H344" s="42">
        <v>0</v>
      </c>
      <c r="I344" s="42"/>
      <c r="J344" s="42"/>
      <c r="K344" s="42"/>
      <c r="L344" s="42"/>
      <c r="M344" s="150">
        <f>SUM(E344:L344)</f>
        <v>0</v>
      </c>
      <c r="N344" s="45" t="s">
        <v>130</v>
      </c>
      <c r="O344" s="45" t="s">
        <v>371</v>
      </c>
    </row>
    <row r="345" spans="1:30" ht="31">
      <c r="A345" s="56"/>
      <c r="B345" s="56"/>
      <c r="C345" s="56"/>
      <c r="D345" s="43" t="s">
        <v>770</v>
      </c>
      <c r="E345" s="42">
        <v>0</v>
      </c>
      <c r="F345" s="42">
        <v>0</v>
      </c>
      <c r="G345" s="42">
        <v>0</v>
      </c>
      <c r="H345" s="42">
        <v>0</v>
      </c>
      <c r="I345" s="42">
        <v>0</v>
      </c>
      <c r="J345" s="42">
        <v>0</v>
      </c>
      <c r="K345" s="42">
        <v>0</v>
      </c>
      <c r="L345" s="42">
        <v>0</v>
      </c>
      <c r="M345" s="150">
        <f>SUM(E345:L345)</f>
        <v>0</v>
      </c>
      <c r="N345" s="45" t="s">
        <v>132</v>
      </c>
      <c r="O345" s="45" t="s">
        <v>372</v>
      </c>
    </row>
    <row r="346" spans="1:30" ht="16" thickBot="1">
      <c r="A346" s="56"/>
      <c r="B346" s="56"/>
      <c r="C346" s="56"/>
      <c r="D346" s="176" t="s">
        <v>769</v>
      </c>
      <c r="E346" s="185">
        <f>+E343+E344+E345</f>
        <v>2343</v>
      </c>
      <c r="F346" s="185">
        <f t="shared" ref="F346:M346" si="19">+F343+F344+F345</f>
        <v>0</v>
      </c>
      <c r="G346" s="185">
        <f t="shared" si="19"/>
        <v>0</v>
      </c>
      <c r="H346" s="185">
        <f t="shared" si="19"/>
        <v>0</v>
      </c>
      <c r="I346" s="185">
        <f t="shared" si="19"/>
        <v>0</v>
      </c>
      <c r="J346" s="185">
        <f t="shared" si="19"/>
        <v>0</v>
      </c>
      <c r="K346" s="185">
        <f t="shared" si="19"/>
        <v>0</v>
      </c>
      <c r="L346" s="185">
        <f t="shared" si="19"/>
        <v>0</v>
      </c>
      <c r="M346" s="186">
        <f t="shared" si="19"/>
        <v>2343</v>
      </c>
      <c r="N346" s="45" t="s">
        <v>343</v>
      </c>
      <c r="O346" s="45" t="s">
        <v>373</v>
      </c>
    </row>
    <row r="347" spans="1:30" ht="16" thickBot="1">
      <c r="A347" s="56"/>
      <c r="B347" s="56"/>
      <c r="C347" s="56"/>
      <c r="D347" s="4"/>
      <c r="E347" s="182"/>
      <c r="F347" s="182"/>
      <c r="G347" s="182"/>
      <c r="H347" s="182"/>
      <c r="I347" s="182"/>
      <c r="J347" s="182"/>
      <c r="K347" s="182"/>
      <c r="L347" s="182"/>
      <c r="M347" s="182"/>
      <c r="N347" s="56"/>
    </row>
    <row r="348" spans="1:30" ht="16" thickBot="1">
      <c r="A348" s="56"/>
      <c r="B348" s="56"/>
      <c r="C348" s="56"/>
      <c r="D348" s="296" t="s">
        <v>376</v>
      </c>
      <c r="E348" s="297"/>
      <c r="F348" s="297"/>
      <c r="G348" s="297"/>
      <c r="H348" s="297"/>
      <c r="I348" s="297"/>
      <c r="J348" s="297"/>
      <c r="K348" s="297"/>
      <c r="L348" s="297"/>
      <c r="M348" s="45" t="s">
        <v>375</v>
      </c>
    </row>
    <row r="349" spans="1:30" ht="16" thickBot="1">
      <c r="A349" s="56"/>
      <c r="B349" s="56"/>
      <c r="C349" s="56"/>
      <c r="D349" s="191" t="s">
        <v>377</v>
      </c>
      <c r="E349" s="192" t="str">
        <f>+E324</f>
        <v>Nord Stream AG (Stateless Permanent Establishment Finland)</v>
      </c>
      <c r="F349" s="192">
        <f t="shared" ref="F349:L349" si="20">+F324</f>
        <v>0</v>
      </c>
      <c r="G349" s="192">
        <f t="shared" si="20"/>
        <v>0</v>
      </c>
      <c r="H349" s="192">
        <f t="shared" si="20"/>
        <v>0</v>
      </c>
      <c r="I349" s="192">
        <f t="shared" si="20"/>
        <v>0</v>
      </c>
      <c r="J349" s="192">
        <f t="shared" si="20"/>
        <v>0</v>
      </c>
      <c r="K349" s="192">
        <f t="shared" si="20"/>
        <v>0</v>
      </c>
      <c r="L349" s="192">
        <f t="shared" si="20"/>
        <v>0</v>
      </c>
      <c r="M349" s="45" t="s">
        <v>245</v>
      </c>
      <c r="O349" s="14"/>
    </row>
    <row r="350" spans="1:30" ht="16" thickBot="1">
      <c r="A350" s="56"/>
      <c r="B350" s="56"/>
      <c r="C350" s="56"/>
      <c r="D350" s="376" t="s">
        <v>809</v>
      </c>
      <c r="E350" s="377"/>
      <c r="F350" s="377"/>
      <c r="G350" s="377"/>
      <c r="H350" s="377"/>
      <c r="I350" s="377"/>
      <c r="J350" s="377"/>
      <c r="K350" s="377"/>
      <c r="L350" s="378"/>
      <c r="M350" s="45"/>
      <c r="O350" s="14"/>
    </row>
    <row r="351" spans="1:30">
      <c r="A351" s="56"/>
      <c r="B351" s="56"/>
      <c r="C351" s="56"/>
      <c r="D351" s="193" t="s">
        <v>810</v>
      </c>
      <c r="E351" s="194" t="s">
        <v>650</v>
      </c>
      <c r="F351" s="194" t="s">
        <v>648</v>
      </c>
      <c r="G351" s="194" t="s">
        <v>648</v>
      </c>
      <c r="H351" s="194" t="s">
        <v>648</v>
      </c>
      <c r="I351" s="194" t="s">
        <v>648</v>
      </c>
      <c r="J351" s="194" t="s">
        <v>648</v>
      </c>
      <c r="K351" s="194" t="s">
        <v>648</v>
      </c>
      <c r="L351" s="195" t="s">
        <v>648</v>
      </c>
      <c r="M351" s="45" t="s">
        <v>383</v>
      </c>
      <c r="N351" s="56"/>
      <c r="O351" s="325" t="s">
        <v>384</v>
      </c>
      <c r="P351" s="326"/>
      <c r="Q351" s="326"/>
      <c r="R351" s="326"/>
      <c r="S351" s="326"/>
      <c r="T351" s="326"/>
      <c r="U351" s="326"/>
      <c r="V351" s="326"/>
      <c r="W351" s="326"/>
      <c r="X351" s="326"/>
      <c r="Y351" s="326"/>
      <c r="Z351" s="326"/>
      <c r="AA351" s="326"/>
      <c r="AB351" s="326"/>
      <c r="AC351" s="327"/>
    </row>
    <row r="352" spans="1:30" ht="15" customHeight="1">
      <c r="A352" s="56"/>
      <c r="B352" s="56"/>
      <c r="C352" s="56"/>
      <c r="D352" s="196" t="s">
        <v>386</v>
      </c>
      <c r="E352" s="42" t="s">
        <v>650</v>
      </c>
      <c r="F352" s="42" t="s">
        <v>648</v>
      </c>
      <c r="G352" s="42" t="s">
        <v>648</v>
      </c>
      <c r="H352" s="42" t="s">
        <v>648</v>
      </c>
      <c r="I352" s="42" t="s">
        <v>648</v>
      </c>
      <c r="J352" s="42" t="s">
        <v>648</v>
      </c>
      <c r="K352" s="42" t="s">
        <v>648</v>
      </c>
      <c r="L352" s="41" t="s">
        <v>648</v>
      </c>
      <c r="M352" s="45" t="s">
        <v>385</v>
      </c>
      <c r="N352" s="56"/>
      <c r="O352" s="7"/>
    </row>
    <row r="353" spans="1:29" ht="15" customHeight="1" thickBot="1">
      <c r="A353" s="56"/>
      <c r="B353" s="56"/>
      <c r="C353" s="56"/>
      <c r="D353" s="197" t="s">
        <v>811</v>
      </c>
      <c r="E353" s="106" t="s">
        <v>650</v>
      </c>
      <c r="F353" s="106" t="s">
        <v>648</v>
      </c>
      <c r="G353" s="106" t="s">
        <v>648</v>
      </c>
      <c r="H353" s="106" t="s">
        <v>648</v>
      </c>
      <c r="I353" s="106" t="s">
        <v>648</v>
      </c>
      <c r="J353" s="106" t="s">
        <v>648</v>
      </c>
      <c r="K353" s="106" t="s">
        <v>648</v>
      </c>
      <c r="L353" s="99" t="s">
        <v>648</v>
      </c>
      <c r="M353" s="56"/>
      <c r="N353" s="56"/>
      <c r="O353" s="7"/>
    </row>
    <row r="354" spans="1:29" ht="15" customHeight="1" thickBot="1">
      <c r="A354" s="56"/>
      <c r="B354" s="56"/>
      <c r="C354" s="56"/>
      <c r="D354" s="376" t="s">
        <v>812</v>
      </c>
      <c r="E354" s="377"/>
      <c r="F354" s="377"/>
      <c r="G354" s="377"/>
      <c r="H354" s="377"/>
      <c r="I354" s="377"/>
      <c r="J354" s="377"/>
      <c r="K354" s="377"/>
      <c r="L354" s="378"/>
      <c r="M354" s="56"/>
      <c r="N354" s="56"/>
      <c r="O354" s="7"/>
    </row>
    <row r="355" spans="1:29" ht="15" customHeight="1">
      <c r="A355" s="56"/>
      <c r="B355" s="56"/>
      <c r="C355" s="56"/>
      <c r="D355" s="193" t="s">
        <v>813</v>
      </c>
      <c r="E355" s="194" t="s">
        <v>650</v>
      </c>
      <c r="F355" s="194" t="s">
        <v>650</v>
      </c>
      <c r="G355" s="194" t="s">
        <v>650</v>
      </c>
      <c r="H355" s="194" t="s">
        <v>650</v>
      </c>
      <c r="I355" s="194" t="s">
        <v>650</v>
      </c>
      <c r="J355" s="194" t="s">
        <v>648</v>
      </c>
      <c r="K355" s="194" t="s">
        <v>648</v>
      </c>
      <c r="L355" s="195" t="s">
        <v>648</v>
      </c>
      <c r="M355" s="45" t="s">
        <v>378</v>
      </c>
      <c r="O355" s="14"/>
    </row>
    <row r="356" spans="1:29" ht="15" customHeight="1">
      <c r="A356" s="56"/>
      <c r="B356" s="56"/>
      <c r="C356" s="56"/>
      <c r="D356" s="93" t="s">
        <v>380</v>
      </c>
      <c r="E356" s="42" t="s">
        <v>819</v>
      </c>
      <c r="F356" s="42" t="s">
        <v>819</v>
      </c>
      <c r="G356" s="42" t="s">
        <v>819</v>
      </c>
      <c r="H356" s="42" t="s">
        <v>819</v>
      </c>
      <c r="I356" s="42" t="s">
        <v>819</v>
      </c>
      <c r="J356" s="42" t="s">
        <v>819</v>
      </c>
      <c r="K356" s="42" t="s">
        <v>819</v>
      </c>
      <c r="L356" s="42" t="s">
        <v>819</v>
      </c>
      <c r="M356" s="45" t="s">
        <v>379</v>
      </c>
      <c r="N356" s="56"/>
      <c r="O356" s="7"/>
      <c r="P356" s="7"/>
      <c r="Q356" s="7"/>
      <c r="R356" s="7"/>
      <c r="S356" s="7"/>
      <c r="T356" s="7"/>
      <c r="U356" s="7"/>
      <c r="V356" s="7"/>
      <c r="W356" s="7"/>
      <c r="X356" s="7"/>
      <c r="Y356" s="7"/>
      <c r="Z356" s="7"/>
      <c r="AA356" s="7"/>
      <c r="AB356" s="7"/>
    </row>
    <row r="357" spans="1:29" ht="15" customHeight="1" thickBot="1">
      <c r="A357" s="56"/>
      <c r="B357" s="56"/>
      <c r="C357" s="56"/>
      <c r="D357" s="158" t="s">
        <v>382</v>
      </c>
      <c r="E357" s="106" t="s">
        <v>820</v>
      </c>
      <c r="F357" s="106" t="s">
        <v>820</v>
      </c>
      <c r="G357" s="106" t="s">
        <v>820</v>
      </c>
      <c r="H357" s="106" t="s">
        <v>820</v>
      </c>
      <c r="I357" s="106" t="s">
        <v>820</v>
      </c>
      <c r="J357" s="106" t="s">
        <v>820</v>
      </c>
      <c r="K357" s="106" t="s">
        <v>820</v>
      </c>
      <c r="L357" s="106" t="s">
        <v>820</v>
      </c>
      <c r="M357" s="45" t="s">
        <v>381</v>
      </c>
      <c r="N357" s="7"/>
    </row>
    <row r="358" spans="1:29" ht="15" customHeight="1">
      <c r="A358" s="56"/>
      <c r="B358" s="56"/>
      <c r="C358" s="56"/>
      <c r="D358" s="193" t="s">
        <v>814</v>
      </c>
      <c r="E358" s="194" t="s">
        <v>650</v>
      </c>
      <c r="F358" s="194" t="s">
        <v>650</v>
      </c>
      <c r="G358" s="194" t="s">
        <v>650</v>
      </c>
      <c r="H358" s="194" t="s">
        <v>650</v>
      </c>
      <c r="I358" s="194" t="s">
        <v>650</v>
      </c>
      <c r="J358" s="194" t="s">
        <v>648</v>
      </c>
      <c r="K358" s="194" t="s">
        <v>648</v>
      </c>
      <c r="L358" s="195" t="s">
        <v>648</v>
      </c>
      <c r="M358" s="45" t="s">
        <v>387</v>
      </c>
      <c r="N358" s="56"/>
      <c r="O358" s="7"/>
    </row>
    <row r="359" spans="1:29" ht="15" customHeight="1">
      <c r="A359" s="56"/>
      <c r="B359" s="56"/>
      <c r="C359" s="56"/>
      <c r="D359" s="93" t="s">
        <v>380</v>
      </c>
      <c r="E359" s="42" t="s">
        <v>819</v>
      </c>
      <c r="F359" s="42" t="s">
        <v>819</v>
      </c>
      <c r="G359" s="42" t="s">
        <v>819</v>
      </c>
      <c r="H359" s="42" t="s">
        <v>819</v>
      </c>
      <c r="I359" s="42" t="s">
        <v>819</v>
      </c>
      <c r="J359" s="42" t="s">
        <v>819</v>
      </c>
      <c r="K359" s="42" t="s">
        <v>819</v>
      </c>
      <c r="L359" s="42" t="s">
        <v>819</v>
      </c>
      <c r="M359" s="45" t="s">
        <v>379</v>
      </c>
      <c r="N359" s="56"/>
      <c r="O359" s="7"/>
    </row>
    <row r="360" spans="1:29" ht="15" customHeight="1" thickBot="1">
      <c r="A360" s="56"/>
      <c r="B360" s="56"/>
      <c r="C360" s="56"/>
      <c r="D360" s="158" t="s">
        <v>382</v>
      </c>
      <c r="E360" s="106" t="s">
        <v>820</v>
      </c>
      <c r="F360" s="106" t="s">
        <v>820</v>
      </c>
      <c r="G360" s="106" t="s">
        <v>820</v>
      </c>
      <c r="H360" s="106" t="s">
        <v>820</v>
      </c>
      <c r="I360" s="106" t="s">
        <v>820</v>
      </c>
      <c r="J360" s="106" t="s">
        <v>820</v>
      </c>
      <c r="K360" s="106" t="s">
        <v>820</v>
      </c>
      <c r="L360" s="106" t="s">
        <v>820</v>
      </c>
      <c r="M360" s="45" t="s">
        <v>381</v>
      </c>
      <c r="N360" s="56"/>
      <c r="O360" s="7"/>
    </row>
    <row r="361" spans="1:29">
      <c r="A361" s="56"/>
      <c r="B361" s="56"/>
      <c r="C361" s="56"/>
      <c r="D361" s="193" t="s">
        <v>816</v>
      </c>
      <c r="E361" s="194" t="s">
        <v>650</v>
      </c>
      <c r="F361" s="194" t="s">
        <v>650</v>
      </c>
      <c r="G361" s="194" t="s">
        <v>650</v>
      </c>
      <c r="H361" s="194" t="s">
        <v>650</v>
      </c>
      <c r="I361" s="194" t="s">
        <v>650</v>
      </c>
      <c r="J361" s="194" t="s">
        <v>648</v>
      </c>
      <c r="K361" s="194" t="s">
        <v>648</v>
      </c>
      <c r="L361" s="195" t="s">
        <v>648</v>
      </c>
      <c r="M361" s="45" t="s">
        <v>388</v>
      </c>
      <c r="N361" s="56"/>
      <c r="O361" s="7"/>
    </row>
    <row r="362" spans="1:29" ht="15" customHeight="1">
      <c r="A362" s="56"/>
      <c r="B362" s="56"/>
      <c r="C362" s="56"/>
      <c r="D362" s="93" t="s">
        <v>380</v>
      </c>
      <c r="E362" s="42" t="s">
        <v>819</v>
      </c>
      <c r="F362" s="42" t="s">
        <v>819</v>
      </c>
      <c r="G362" s="42" t="s">
        <v>819</v>
      </c>
      <c r="H362" s="42" t="s">
        <v>819</v>
      </c>
      <c r="I362" s="42" t="s">
        <v>819</v>
      </c>
      <c r="J362" s="42" t="s">
        <v>819</v>
      </c>
      <c r="K362" s="42" t="s">
        <v>819</v>
      </c>
      <c r="L362" s="42" t="s">
        <v>819</v>
      </c>
      <c r="M362" s="45" t="s">
        <v>379</v>
      </c>
      <c r="N362" s="56"/>
      <c r="O362" s="7"/>
    </row>
    <row r="363" spans="1:29" ht="15" customHeight="1" thickBot="1">
      <c r="A363" s="56"/>
      <c r="B363" s="56"/>
      <c r="C363" s="56"/>
      <c r="D363" s="158" t="s">
        <v>382</v>
      </c>
      <c r="E363" s="106" t="s">
        <v>820</v>
      </c>
      <c r="F363" s="106" t="s">
        <v>820</v>
      </c>
      <c r="G363" s="106" t="s">
        <v>820</v>
      </c>
      <c r="H363" s="106" t="s">
        <v>820</v>
      </c>
      <c r="I363" s="106" t="s">
        <v>820</v>
      </c>
      <c r="J363" s="106" t="s">
        <v>820</v>
      </c>
      <c r="K363" s="106" t="s">
        <v>820</v>
      </c>
      <c r="L363" s="106" t="s">
        <v>820</v>
      </c>
      <c r="M363" s="45" t="s">
        <v>381</v>
      </c>
      <c r="N363" s="56"/>
      <c r="O363" s="7"/>
    </row>
    <row r="364" spans="1:29" ht="15" customHeight="1">
      <c r="A364" s="56"/>
      <c r="B364" s="56"/>
      <c r="C364" s="56"/>
      <c r="D364" s="193" t="s">
        <v>399</v>
      </c>
      <c r="E364" s="194" t="s">
        <v>650</v>
      </c>
      <c r="F364" s="194" t="s">
        <v>650</v>
      </c>
      <c r="G364" s="194" t="s">
        <v>650</v>
      </c>
      <c r="H364" s="194" t="s">
        <v>650</v>
      </c>
      <c r="I364" s="194" t="s">
        <v>650</v>
      </c>
      <c r="J364" s="194" t="s">
        <v>648</v>
      </c>
      <c r="K364" s="194" t="s">
        <v>648</v>
      </c>
      <c r="L364" s="195" t="s">
        <v>648</v>
      </c>
      <c r="M364" s="45" t="s">
        <v>398</v>
      </c>
      <c r="N364" s="56"/>
      <c r="O364" s="328" t="s">
        <v>400</v>
      </c>
      <c r="P364" s="329"/>
      <c r="Q364" s="329"/>
      <c r="R364" s="329"/>
      <c r="S364" s="329"/>
      <c r="T364" s="329"/>
      <c r="U364" s="329"/>
      <c r="V364" s="329"/>
      <c r="W364" s="329"/>
      <c r="X364" s="329"/>
      <c r="Y364" s="329"/>
      <c r="Z364" s="329"/>
      <c r="AA364" s="329"/>
      <c r="AB364" s="329"/>
      <c r="AC364" s="330"/>
    </row>
    <row r="365" spans="1:29" ht="15" customHeight="1">
      <c r="A365" s="56"/>
      <c r="B365" s="56"/>
      <c r="C365" s="56"/>
      <c r="D365" s="93" t="s">
        <v>380</v>
      </c>
      <c r="E365" s="42" t="s">
        <v>819</v>
      </c>
      <c r="F365" s="42" t="s">
        <v>819</v>
      </c>
      <c r="G365" s="42" t="s">
        <v>819</v>
      </c>
      <c r="H365" s="42" t="s">
        <v>819</v>
      </c>
      <c r="I365" s="42" t="s">
        <v>819</v>
      </c>
      <c r="J365" s="42" t="s">
        <v>819</v>
      </c>
      <c r="K365" s="42" t="s">
        <v>819</v>
      </c>
      <c r="L365" s="42" t="s">
        <v>819</v>
      </c>
      <c r="M365" s="45" t="s">
        <v>379</v>
      </c>
      <c r="N365" s="56"/>
      <c r="O365" s="331"/>
      <c r="P365" s="332"/>
      <c r="Q365" s="332"/>
      <c r="R365" s="332"/>
      <c r="S365" s="332"/>
      <c r="T365" s="332"/>
      <c r="U365" s="332"/>
      <c r="V365" s="332"/>
      <c r="W365" s="332"/>
      <c r="X365" s="332"/>
      <c r="Y365" s="332"/>
      <c r="Z365" s="332"/>
      <c r="AA365" s="332"/>
      <c r="AB365" s="332"/>
      <c r="AC365" s="333"/>
    </row>
    <row r="366" spans="1:29" ht="15" customHeight="1" thickBot="1">
      <c r="A366" s="56"/>
      <c r="B366" s="56"/>
      <c r="C366" s="56"/>
      <c r="D366" s="158" t="s">
        <v>382</v>
      </c>
      <c r="E366" s="106" t="s">
        <v>820</v>
      </c>
      <c r="F366" s="106" t="s">
        <v>820</v>
      </c>
      <c r="G366" s="106" t="s">
        <v>820</v>
      </c>
      <c r="H366" s="106" t="s">
        <v>820</v>
      </c>
      <c r="I366" s="106" t="s">
        <v>820</v>
      </c>
      <c r="J366" s="106" t="s">
        <v>820</v>
      </c>
      <c r="K366" s="106" t="s">
        <v>820</v>
      </c>
      <c r="L366" s="106" t="s">
        <v>820</v>
      </c>
      <c r="M366" s="45" t="s">
        <v>381</v>
      </c>
      <c r="N366" s="56"/>
      <c r="O366" s="331"/>
      <c r="P366" s="332"/>
      <c r="Q366" s="332"/>
      <c r="R366" s="332"/>
      <c r="S366" s="332"/>
      <c r="T366" s="332"/>
      <c r="U366" s="332"/>
      <c r="V366" s="332"/>
      <c r="W366" s="332"/>
      <c r="X366" s="332"/>
      <c r="Y366" s="332"/>
      <c r="Z366" s="332"/>
      <c r="AA366" s="332"/>
      <c r="AB366" s="332"/>
      <c r="AC366" s="333"/>
    </row>
    <row r="367" spans="1:29" ht="14" customHeight="1">
      <c r="A367" s="56"/>
      <c r="B367" s="56"/>
      <c r="C367" s="56"/>
      <c r="D367" s="198" t="s">
        <v>817</v>
      </c>
      <c r="E367" s="194" t="s">
        <v>650</v>
      </c>
      <c r="F367" s="194" t="s">
        <v>650</v>
      </c>
      <c r="G367" s="194" t="s">
        <v>650</v>
      </c>
      <c r="H367" s="194" t="s">
        <v>650</v>
      </c>
      <c r="I367" s="194" t="s">
        <v>650</v>
      </c>
      <c r="J367" s="194" t="s">
        <v>648</v>
      </c>
      <c r="K367" s="194" t="s">
        <v>648</v>
      </c>
      <c r="L367" s="195" t="s">
        <v>648</v>
      </c>
      <c r="M367" s="45" t="s">
        <v>401</v>
      </c>
      <c r="N367" s="56"/>
      <c r="O367" s="334" t="s">
        <v>402</v>
      </c>
      <c r="P367" s="335"/>
      <c r="Q367" s="335"/>
      <c r="R367" s="335"/>
      <c r="S367" s="335"/>
      <c r="T367" s="335"/>
      <c r="U367" s="335"/>
      <c r="V367" s="335"/>
      <c r="W367" s="335"/>
      <c r="X367" s="335"/>
      <c r="Y367" s="335"/>
      <c r="Z367" s="335"/>
      <c r="AA367" s="335"/>
      <c r="AB367" s="335"/>
      <c r="AC367" s="336"/>
    </row>
    <row r="368" spans="1:29" ht="15" customHeight="1">
      <c r="A368" s="56"/>
      <c r="B368" s="56"/>
      <c r="C368" s="56"/>
      <c r="D368" s="93" t="s">
        <v>380</v>
      </c>
      <c r="E368" s="42" t="s">
        <v>819</v>
      </c>
      <c r="F368" s="42" t="s">
        <v>819</v>
      </c>
      <c r="G368" s="42" t="s">
        <v>819</v>
      </c>
      <c r="H368" s="42" t="s">
        <v>819</v>
      </c>
      <c r="I368" s="42" t="s">
        <v>819</v>
      </c>
      <c r="J368" s="42" t="s">
        <v>819</v>
      </c>
      <c r="K368" s="42" t="s">
        <v>819</v>
      </c>
      <c r="L368" s="42" t="s">
        <v>819</v>
      </c>
      <c r="M368" s="45" t="s">
        <v>379</v>
      </c>
      <c r="N368" s="56"/>
      <c r="O368" s="337"/>
      <c r="P368" s="338"/>
      <c r="Q368" s="338"/>
      <c r="R368" s="338"/>
      <c r="S368" s="338"/>
      <c r="T368" s="338"/>
      <c r="U368" s="338"/>
      <c r="V368" s="338"/>
      <c r="W368" s="338"/>
      <c r="X368" s="338"/>
      <c r="Y368" s="338"/>
      <c r="Z368" s="338"/>
      <c r="AA368" s="338"/>
      <c r="AB368" s="338"/>
      <c r="AC368" s="339"/>
    </row>
    <row r="369" spans="1:29" ht="15" customHeight="1" thickBot="1">
      <c r="A369" s="56"/>
      <c r="B369" s="56"/>
      <c r="C369" s="56"/>
      <c r="D369" s="199" t="s">
        <v>382</v>
      </c>
      <c r="E369" s="106" t="s">
        <v>820</v>
      </c>
      <c r="F369" s="106" t="s">
        <v>820</v>
      </c>
      <c r="G369" s="106" t="s">
        <v>820</v>
      </c>
      <c r="H369" s="106" t="s">
        <v>820</v>
      </c>
      <c r="I369" s="106" t="s">
        <v>820</v>
      </c>
      <c r="J369" s="106" t="s">
        <v>820</v>
      </c>
      <c r="K369" s="106" t="s">
        <v>820</v>
      </c>
      <c r="L369" s="106" t="s">
        <v>820</v>
      </c>
      <c r="M369" s="45" t="s">
        <v>381</v>
      </c>
      <c r="N369" s="56"/>
      <c r="O369" s="337"/>
      <c r="P369" s="338"/>
      <c r="Q369" s="338"/>
      <c r="R369" s="338"/>
      <c r="S369" s="338"/>
      <c r="T369" s="338"/>
      <c r="U369" s="338"/>
      <c r="V369" s="338"/>
      <c r="W369" s="338"/>
      <c r="X369" s="338"/>
      <c r="Y369" s="338"/>
      <c r="Z369" s="338"/>
      <c r="AA369" s="338"/>
      <c r="AB369" s="338"/>
      <c r="AC369" s="339"/>
    </row>
    <row r="370" spans="1:29" ht="15" customHeight="1">
      <c r="A370" s="56"/>
      <c r="B370" s="56"/>
      <c r="C370" s="56"/>
      <c r="D370" s="200" t="s">
        <v>815</v>
      </c>
      <c r="E370" s="194" t="s">
        <v>650</v>
      </c>
      <c r="F370" s="194" t="s">
        <v>650</v>
      </c>
      <c r="G370" s="194" t="s">
        <v>650</v>
      </c>
      <c r="H370" s="194" t="s">
        <v>650</v>
      </c>
      <c r="I370" s="194" t="s">
        <v>650</v>
      </c>
      <c r="J370" s="194" t="s">
        <v>648</v>
      </c>
      <c r="K370" s="194" t="s">
        <v>648</v>
      </c>
      <c r="L370" s="195" t="s">
        <v>648</v>
      </c>
      <c r="M370" s="45" t="s">
        <v>394</v>
      </c>
      <c r="N370" s="56"/>
      <c r="O370" s="328" t="s">
        <v>395</v>
      </c>
      <c r="P370" s="329"/>
      <c r="Q370" s="329"/>
      <c r="R370" s="329"/>
      <c r="S370" s="329"/>
      <c r="T370" s="329"/>
      <c r="U370" s="329"/>
      <c r="V370" s="329"/>
      <c r="W370" s="329"/>
      <c r="X370" s="329"/>
      <c r="Y370" s="329"/>
      <c r="Z370" s="329"/>
      <c r="AA370" s="329"/>
      <c r="AB370" s="329"/>
      <c r="AC370" s="330"/>
    </row>
    <row r="371" spans="1:29" ht="15" customHeight="1">
      <c r="A371" s="56"/>
      <c r="B371" s="56"/>
      <c r="C371" s="56"/>
      <c r="D371" s="93" t="s">
        <v>380</v>
      </c>
      <c r="E371" s="42" t="s">
        <v>819</v>
      </c>
      <c r="F371" s="42" t="s">
        <v>819</v>
      </c>
      <c r="G371" s="42" t="s">
        <v>819</v>
      </c>
      <c r="H371" s="42" t="s">
        <v>819</v>
      </c>
      <c r="I371" s="42" t="s">
        <v>819</v>
      </c>
      <c r="J371" s="42" t="s">
        <v>819</v>
      </c>
      <c r="K371" s="42" t="s">
        <v>819</v>
      </c>
      <c r="L371" s="42" t="s">
        <v>819</v>
      </c>
      <c r="M371" s="45" t="s">
        <v>379</v>
      </c>
      <c r="N371" s="56"/>
      <c r="O371" s="331"/>
      <c r="P371" s="332"/>
      <c r="Q371" s="332"/>
      <c r="R371" s="332"/>
      <c r="S371" s="332"/>
      <c r="T371" s="332"/>
      <c r="U371" s="332"/>
      <c r="V371" s="332"/>
      <c r="W371" s="332"/>
      <c r="X371" s="332"/>
      <c r="Y371" s="332"/>
      <c r="Z371" s="332"/>
      <c r="AA371" s="332"/>
      <c r="AB371" s="332"/>
      <c r="AC371" s="333"/>
    </row>
    <row r="372" spans="1:29" ht="15" customHeight="1" thickBot="1">
      <c r="A372" s="56"/>
      <c r="B372" s="56"/>
      <c r="C372" s="56"/>
      <c r="D372" s="199" t="s">
        <v>382</v>
      </c>
      <c r="E372" s="106" t="s">
        <v>820</v>
      </c>
      <c r="F372" s="106" t="s">
        <v>820</v>
      </c>
      <c r="G372" s="106" t="s">
        <v>820</v>
      </c>
      <c r="H372" s="106" t="s">
        <v>820</v>
      </c>
      <c r="I372" s="106" t="s">
        <v>820</v>
      </c>
      <c r="J372" s="106" t="s">
        <v>820</v>
      </c>
      <c r="K372" s="106" t="s">
        <v>820</v>
      </c>
      <c r="L372" s="106" t="s">
        <v>820</v>
      </c>
      <c r="M372" s="45" t="s">
        <v>381</v>
      </c>
      <c r="N372" s="56"/>
      <c r="O372" s="340"/>
      <c r="P372" s="341"/>
      <c r="Q372" s="341"/>
      <c r="R372" s="341"/>
      <c r="S372" s="341"/>
      <c r="T372" s="341"/>
      <c r="U372" s="341"/>
      <c r="V372" s="341"/>
      <c r="W372" s="341"/>
      <c r="X372" s="341"/>
      <c r="Y372" s="341"/>
      <c r="Z372" s="341"/>
      <c r="AA372" s="341"/>
      <c r="AB372" s="341"/>
      <c r="AC372" s="342"/>
    </row>
    <row r="373" spans="1:29" ht="15" customHeight="1">
      <c r="A373" s="56"/>
      <c r="B373" s="56"/>
      <c r="C373" s="56"/>
      <c r="D373" s="200" t="s">
        <v>397</v>
      </c>
      <c r="E373" s="194" t="s">
        <v>650</v>
      </c>
      <c r="F373" s="194" t="s">
        <v>650</v>
      </c>
      <c r="G373" s="194" t="s">
        <v>650</v>
      </c>
      <c r="H373" s="194" t="s">
        <v>650</v>
      </c>
      <c r="I373" s="194" t="s">
        <v>650</v>
      </c>
      <c r="J373" s="194" t="s">
        <v>648</v>
      </c>
      <c r="K373" s="194" t="s">
        <v>648</v>
      </c>
      <c r="L373" s="195" t="s">
        <v>648</v>
      </c>
      <c r="M373" s="45" t="s">
        <v>396</v>
      </c>
      <c r="N373" s="56"/>
      <c r="O373" s="328" t="s">
        <v>59</v>
      </c>
      <c r="P373" s="329"/>
      <c r="Q373" s="329"/>
      <c r="R373" s="329"/>
      <c r="S373" s="329"/>
      <c r="T373" s="329"/>
      <c r="U373" s="329"/>
      <c r="V373" s="329"/>
      <c r="W373" s="329"/>
      <c r="X373" s="329"/>
      <c r="Y373" s="329"/>
      <c r="Z373" s="329"/>
      <c r="AA373" s="329"/>
      <c r="AB373" s="329"/>
      <c r="AC373" s="330"/>
    </row>
    <row r="374" spans="1:29" ht="15" customHeight="1">
      <c r="A374" s="56"/>
      <c r="B374" s="56"/>
      <c r="C374" s="56"/>
      <c r="D374" s="93" t="s">
        <v>380</v>
      </c>
      <c r="E374" s="42" t="s">
        <v>819</v>
      </c>
      <c r="F374" s="42" t="s">
        <v>819</v>
      </c>
      <c r="G374" s="42" t="s">
        <v>819</v>
      </c>
      <c r="H374" s="42" t="s">
        <v>819</v>
      </c>
      <c r="I374" s="42" t="s">
        <v>819</v>
      </c>
      <c r="J374" s="42" t="s">
        <v>819</v>
      </c>
      <c r="K374" s="42" t="s">
        <v>819</v>
      </c>
      <c r="L374" s="42" t="s">
        <v>819</v>
      </c>
      <c r="M374" s="45" t="s">
        <v>379</v>
      </c>
      <c r="N374" s="56"/>
      <c r="O374" s="331"/>
      <c r="P374" s="332"/>
      <c r="Q374" s="332"/>
      <c r="R374" s="332"/>
      <c r="S374" s="332"/>
      <c r="T374" s="332"/>
      <c r="U374" s="332"/>
      <c r="V374" s="332"/>
      <c r="W374" s="332"/>
      <c r="X374" s="332"/>
      <c r="Y374" s="332"/>
      <c r="Z374" s="332"/>
      <c r="AA374" s="332"/>
      <c r="AB374" s="332"/>
      <c r="AC374" s="333"/>
    </row>
    <row r="375" spans="1:29" ht="15" customHeight="1" thickBot="1">
      <c r="A375" s="56"/>
      <c r="B375" s="56"/>
      <c r="C375" s="56"/>
      <c r="D375" s="199" t="s">
        <v>382</v>
      </c>
      <c r="E375" s="172" t="s">
        <v>820</v>
      </c>
      <c r="F375" s="172" t="s">
        <v>820</v>
      </c>
      <c r="G375" s="172" t="s">
        <v>820</v>
      </c>
      <c r="H375" s="172" t="s">
        <v>820</v>
      </c>
      <c r="I375" s="172" t="s">
        <v>820</v>
      </c>
      <c r="J375" s="172" t="s">
        <v>820</v>
      </c>
      <c r="K375" s="172" t="s">
        <v>820</v>
      </c>
      <c r="L375" s="172" t="s">
        <v>820</v>
      </c>
      <c r="M375" s="45" t="s">
        <v>381</v>
      </c>
      <c r="N375" s="56"/>
      <c r="O375" s="340"/>
      <c r="P375" s="341"/>
      <c r="Q375" s="341"/>
      <c r="R375" s="341"/>
      <c r="S375" s="341"/>
      <c r="T375" s="341"/>
      <c r="U375" s="341"/>
      <c r="V375" s="341"/>
      <c r="W375" s="341"/>
      <c r="X375" s="341"/>
      <c r="Y375" s="341"/>
      <c r="Z375" s="341"/>
      <c r="AA375" s="341"/>
      <c r="AB375" s="341"/>
      <c r="AC375" s="342"/>
    </row>
    <row r="376" spans="1:29" ht="14" customHeight="1">
      <c r="A376" s="56"/>
      <c r="B376" s="56"/>
      <c r="C376" s="56"/>
      <c r="D376" s="200" t="s">
        <v>390</v>
      </c>
      <c r="E376" s="194" t="s">
        <v>650</v>
      </c>
      <c r="F376" s="194" t="s">
        <v>650</v>
      </c>
      <c r="G376" s="194" t="s">
        <v>650</v>
      </c>
      <c r="H376" s="194" t="s">
        <v>650</v>
      </c>
      <c r="I376" s="194" t="s">
        <v>650</v>
      </c>
      <c r="J376" s="194" t="s">
        <v>648</v>
      </c>
      <c r="K376" s="194" t="s">
        <v>648</v>
      </c>
      <c r="L376" s="195" t="s">
        <v>648</v>
      </c>
      <c r="M376" s="45" t="s">
        <v>389</v>
      </c>
      <c r="N376" s="56"/>
      <c r="O376" s="7"/>
    </row>
    <row r="377" spans="1:29" ht="15" customHeight="1">
      <c r="A377" s="56"/>
      <c r="B377" s="56"/>
      <c r="C377" s="56"/>
      <c r="D377" s="93" t="s">
        <v>392</v>
      </c>
      <c r="E377" s="42" t="s">
        <v>821</v>
      </c>
      <c r="F377" s="42" t="s">
        <v>821</v>
      </c>
      <c r="G377" s="42" t="s">
        <v>821</v>
      </c>
      <c r="H377" s="42" t="s">
        <v>821</v>
      </c>
      <c r="I377" s="42" t="s">
        <v>821</v>
      </c>
      <c r="J377" s="42" t="s">
        <v>821</v>
      </c>
      <c r="K377" s="42" t="s">
        <v>821</v>
      </c>
      <c r="L377" s="41" t="s">
        <v>821</v>
      </c>
      <c r="M377" s="45" t="s">
        <v>391</v>
      </c>
      <c r="N377" s="56"/>
      <c r="O377" s="7"/>
    </row>
    <row r="378" spans="1:29" ht="30.5" customHeight="1" thickBot="1">
      <c r="A378" s="56"/>
      <c r="B378" s="56"/>
      <c r="C378" s="56"/>
      <c r="D378" s="201" t="s">
        <v>818</v>
      </c>
      <c r="E378" s="106">
        <v>0</v>
      </c>
      <c r="F378" s="106">
        <v>0</v>
      </c>
      <c r="G378" s="106">
        <v>0</v>
      </c>
      <c r="H378" s="106">
        <v>0</v>
      </c>
      <c r="I378" s="106">
        <v>0</v>
      </c>
      <c r="J378" s="106">
        <v>0</v>
      </c>
      <c r="K378" s="106">
        <v>0</v>
      </c>
      <c r="L378" s="99">
        <v>0</v>
      </c>
      <c r="M378" s="45" t="s">
        <v>393</v>
      </c>
      <c r="N378" s="56"/>
      <c r="O378" s="7"/>
    </row>
    <row r="379" spans="1:29" ht="15" customHeight="1" thickBot="1">
      <c r="A379" s="56"/>
      <c r="B379" s="56"/>
      <c r="C379" s="56"/>
    </row>
    <row r="380" spans="1:29" ht="16" thickBot="1">
      <c r="A380" s="56"/>
      <c r="B380" s="56"/>
      <c r="C380" s="56"/>
      <c r="D380" s="296" t="s">
        <v>771</v>
      </c>
      <c r="E380" s="297"/>
      <c r="F380" s="297"/>
      <c r="G380" s="297"/>
      <c r="H380" s="297"/>
      <c r="I380" s="297"/>
      <c r="J380" s="297"/>
      <c r="K380" s="297"/>
      <c r="L380" s="297"/>
      <c r="M380" s="298"/>
      <c r="N380" s="56"/>
    </row>
    <row r="381" spans="1:29" ht="16" thickBot="1">
      <c r="A381" s="56"/>
      <c r="B381" s="56"/>
      <c r="C381" s="56"/>
      <c r="D381" s="296" t="s">
        <v>772</v>
      </c>
      <c r="E381" s="297"/>
      <c r="F381" s="297"/>
      <c r="G381" s="297"/>
      <c r="H381" s="297"/>
      <c r="I381" s="297"/>
      <c r="J381" s="297"/>
      <c r="K381" s="297"/>
      <c r="L381" s="297"/>
      <c r="M381" s="298"/>
      <c r="N381" s="56"/>
    </row>
    <row r="382" spans="1:29">
      <c r="A382" s="56"/>
      <c r="B382" s="56"/>
      <c r="C382" s="56"/>
      <c r="D382" s="174" t="s">
        <v>247</v>
      </c>
      <c r="E382" s="169" t="str">
        <f t="shared" ref="E382:M382" si="21">+E324</f>
        <v>Nord Stream AG (Stateless Permanent Establishment Finland)</v>
      </c>
      <c r="F382" s="169">
        <f t="shared" si="21"/>
        <v>0</v>
      </c>
      <c r="G382" s="169">
        <f t="shared" si="21"/>
        <v>0</v>
      </c>
      <c r="H382" s="169">
        <f t="shared" si="21"/>
        <v>0</v>
      </c>
      <c r="I382" s="169">
        <f t="shared" si="21"/>
        <v>0</v>
      </c>
      <c r="J382" s="169">
        <f t="shared" si="21"/>
        <v>0</v>
      </c>
      <c r="K382" s="169">
        <f t="shared" si="21"/>
        <v>0</v>
      </c>
      <c r="L382" s="169">
        <f t="shared" si="21"/>
        <v>0</v>
      </c>
      <c r="M382" s="170" t="str">
        <f t="shared" si="21"/>
        <v>Total amount</v>
      </c>
      <c r="N382" s="56"/>
    </row>
    <row r="383" spans="1:29">
      <c r="A383" s="56"/>
      <c r="B383" s="56"/>
      <c r="C383" s="56"/>
      <c r="D383" s="285" t="s">
        <v>773</v>
      </c>
      <c r="E383" s="383"/>
      <c r="F383" s="383"/>
      <c r="G383" s="383"/>
      <c r="H383" s="383"/>
      <c r="I383" s="383"/>
      <c r="J383" s="383"/>
      <c r="K383" s="383"/>
      <c r="L383" s="383"/>
      <c r="M383" s="286"/>
      <c r="N383" s="56"/>
    </row>
    <row r="384" spans="1:29">
      <c r="A384" s="56"/>
      <c r="B384" s="56"/>
      <c r="C384" s="56"/>
      <c r="D384" s="188" t="s">
        <v>774</v>
      </c>
      <c r="E384" s="42" t="s">
        <v>788</v>
      </c>
      <c r="F384" s="42" t="s">
        <v>788</v>
      </c>
      <c r="G384" s="42" t="s">
        <v>788</v>
      </c>
      <c r="H384" s="42" t="s">
        <v>788</v>
      </c>
      <c r="I384" s="42" t="s">
        <v>788</v>
      </c>
      <c r="J384" s="42" t="s">
        <v>788</v>
      </c>
      <c r="K384" s="42" t="s">
        <v>788</v>
      </c>
      <c r="L384" s="42" t="s">
        <v>788</v>
      </c>
      <c r="M384" s="150"/>
      <c r="N384" s="56"/>
    </row>
    <row r="385" spans="1:14" s="56" customFormat="1">
      <c r="D385" s="188" t="s">
        <v>775</v>
      </c>
      <c r="E385" s="42">
        <v>0</v>
      </c>
      <c r="F385" s="42">
        <v>0</v>
      </c>
      <c r="G385" s="42">
        <v>0</v>
      </c>
      <c r="H385" s="42">
        <v>0</v>
      </c>
      <c r="I385" s="42">
        <v>0</v>
      </c>
      <c r="J385" s="42">
        <v>0</v>
      </c>
      <c r="K385" s="42">
        <v>0</v>
      </c>
      <c r="L385" s="42">
        <v>0</v>
      </c>
      <c r="M385" s="150">
        <f>SUM(E385:L385)</f>
        <v>0</v>
      </c>
    </row>
    <row r="386" spans="1:14" s="56" customFormat="1">
      <c r="D386" s="23" t="s">
        <v>776</v>
      </c>
      <c r="E386" s="42">
        <v>0</v>
      </c>
      <c r="F386" s="42">
        <v>0</v>
      </c>
      <c r="G386" s="42">
        <v>0</v>
      </c>
      <c r="H386" s="42">
        <v>0</v>
      </c>
      <c r="I386" s="42">
        <v>0</v>
      </c>
      <c r="J386" s="42">
        <v>0</v>
      </c>
      <c r="K386" s="42">
        <v>0</v>
      </c>
      <c r="L386" s="42">
        <v>0</v>
      </c>
      <c r="M386" s="150">
        <f>SUM(E386:L386)</f>
        <v>0</v>
      </c>
    </row>
    <row r="387" spans="1:14" s="56" customFormat="1">
      <c r="D387" s="23" t="s">
        <v>777</v>
      </c>
      <c r="E387" s="181">
        <f>+E385-E386</f>
        <v>0</v>
      </c>
      <c r="F387" s="181">
        <f t="shared" ref="F387:L387" si="22">+F385-F386</f>
        <v>0</v>
      </c>
      <c r="G387" s="181">
        <f t="shared" si="22"/>
        <v>0</v>
      </c>
      <c r="H387" s="181">
        <f t="shared" si="22"/>
        <v>0</v>
      </c>
      <c r="I387" s="181">
        <f t="shared" si="22"/>
        <v>0</v>
      </c>
      <c r="J387" s="181">
        <f t="shared" si="22"/>
        <v>0</v>
      </c>
      <c r="K387" s="181">
        <f t="shared" si="22"/>
        <v>0</v>
      </c>
      <c r="L387" s="181">
        <f t="shared" si="22"/>
        <v>0</v>
      </c>
      <c r="M387" s="150">
        <f>SUM(E387:L387)</f>
        <v>0</v>
      </c>
    </row>
    <row r="388" spans="1:14">
      <c r="A388" s="56"/>
      <c r="B388" s="56"/>
      <c r="C388" s="56"/>
      <c r="D388" s="285" t="s">
        <v>778</v>
      </c>
      <c r="E388" s="383"/>
      <c r="F388" s="383"/>
      <c r="G388" s="383"/>
      <c r="H388" s="383"/>
      <c r="I388" s="383"/>
      <c r="J388" s="383"/>
      <c r="K388" s="383"/>
      <c r="L388" s="383"/>
      <c r="M388" s="286"/>
      <c r="N388" s="56"/>
    </row>
    <row r="389" spans="1:14" s="56" customFormat="1">
      <c r="D389" s="23" t="s">
        <v>779</v>
      </c>
      <c r="E389" s="42" t="s">
        <v>788</v>
      </c>
      <c r="F389" s="42" t="s">
        <v>788</v>
      </c>
      <c r="G389" s="42" t="s">
        <v>788</v>
      </c>
      <c r="H389" s="42" t="s">
        <v>788</v>
      </c>
      <c r="I389" s="42" t="s">
        <v>788</v>
      </c>
      <c r="J389" s="42" t="s">
        <v>788</v>
      </c>
      <c r="K389" s="42" t="s">
        <v>788</v>
      </c>
      <c r="L389" s="42" t="s">
        <v>788</v>
      </c>
      <c r="M389" s="184"/>
    </row>
    <row r="390" spans="1:14" s="56" customFormat="1">
      <c r="D390" s="23" t="s">
        <v>780</v>
      </c>
      <c r="E390" s="42">
        <v>0</v>
      </c>
      <c r="F390" s="42">
        <v>0</v>
      </c>
      <c r="G390" s="42">
        <v>0</v>
      </c>
      <c r="H390" s="42">
        <v>0</v>
      </c>
      <c r="I390" s="42">
        <v>0</v>
      </c>
      <c r="J390" s="42">
        <v>0</v>
      </c>
      <c r="K390" s="42">
        <v>0</v>
      </c>
      <c r="L390" s="42">
        <v>0</v>
      </c>
      <c r="M390" s="150">
        <f>SUM(E390:L390)</f>
        <v>0</v>
      </c>
    </row>
    <row r="391" spans="1:14" s="56" customFormat="1">
      <c r="D391" s="23" t="s">
        <v>781</v>
      </c>
      <c r="E391" s="42">
        <v>0</v>
      </c>
      <c r="F391" s="42">
        <v>0</v>
      </c>
      <c r="G391" s="42">
        <v>0</v>
      </c>
      <c r="H391" s="42">
        <v>0</v>
      </c>
      <c r="I391" s="42">
        <v>0</v>
      </c>
      <c r="J391" s="42">
        <v>0</v>
      </c>
      <c r="K391" s="42">
        <v>0</v>
      </c>
      <c r="L391" s="42">
        <v>0</v>
      </c>
      <c r="M391" s="150">
        <f>SUM(E391:L391)</f>
        <v>0</v>
      </c>
    </row>
    <row r="392" spans="1:14" s="56" customFormat="1">
      <c r="D392" s="23" t="s">
        <v>782</v>
      </c>
      <c r="E392" s="181">
        <f>+E390-E391</f>
        <v>0</v>
      </c>
      <c r="F392" s="181">
        <f t="shared" ref="F392:L392" si="23">+F390-F391</f>
        <v>0</v>
      </c>
      <c r="G392" s="181">
        <f t="shared" si="23"/>
        <v>0</v>
      </c>
      <c r="H392" s="181">
        <f t="shared" si="23"/>
        <v>0</v>
      </c>
      <c r="I392" s="181">
        <f t="shared" si="23"/>
        <v>0</v>
      </c>
      <c r="J392" s="181">
        <f t="shared" si="23"/>
        <v>0</v>
      </c>
      <c r="K392" s="181">
        <f t="shared" si="23"/>
        <v>0</v>
      </c>
      <c r="L392" s="181">
        <f t="shared" si="23"/>
        <v>0</v>
      </c>
      <c r="M392" s="150">
        <f>SUM(E392:L392)</f>
        <v>0</v>
      </c>
    </row>
    <row r="393" spans="1:14">
      <c r="A393" s="56"/>
      <c r="B393" s="56"/>
      <c r="C393" s="56"/>
      <c r="D393" s="285" t="s">
        <v>783</v>
      </c>
      <c r="E393" s="383"/>
      <c r="F393" s="383"/>
      <c r="G393" s="383"/>
      <c r="H393" s="383"/>
      <c r="I393" s="383"/>
      <c r="J393" s="383"/>
      <c r="K393" s="383"/>
      <c r="L393" s="383"/>
      <c r="M393" s="286"/>
      <c r="N393" s="56"/>
    </row>
    <row r="394" spans="1:14" s="56" customFormat="1">
      <c r="D394" s="23" t="s">
        <v>784</v>
      </c>
      <c r="E394" s="42">
        <v>0</v>
      </c>
      <c r="F394" s="42">
        <v>0</v>
      </c>
      <c r="G394" s="42">
        <v>0</v>
      </c>
      <c r="H394" s="42">
        <v>0</v>
      </c>
      <c r="I394" s="42">
        <v>0</v>
      </c>
      <c r="J394" s="42">
        <v>0</v>
      </c>
      <c r="K394" s="42">
        <v>0</v>
      </c>
      <c r="L394" s="42">
        <v>0</v>
      </c>
      <c r="M394" s="150">
        <f>SUM(E394:L394)</f>
        <v>0</v>
      </c>
    </row>
    <row r="395" spans="1:14" s="56" customFormat="1">
      <c r="D395" s="23" t="s">
        <v>785</v>
      </c>
      <c r="E395" s="42">
        <v>0</v>
      </c>
      <c r="F395" s="42">
        <v>0</v>
      </c>
      <c r="G395" s="42">
        <v>0</v>
      </c>
      <c r="H395" s="42">
        <v>0</v>
      </c>
      <c r="I395" s="42">
        <v>0</v>
      </c>
      <c r="J395" s="42">
        <v>0</v>
      </c>
      <c r="K395" s="42">
        <v>0</v>
      </c>
      <c r="L395" s="42">
        <v>0</v>
      </c>
      <c r="M395" s="150">
        <f>SUM(E395:L395)</f>
        <v>0</v>
      </c>
    </row>
    <row r="396" spans="1:14">
      <c r="A396" s="56"/>
      <c r="B396" s="56"/>
      <c r="C396" s="56"/>
      <c r="D396" s="285" t="s">
        <v>786</v>
      </c>
      <c r="E396" s="383"/>
      <c r="F396" s="383"/>
      <c r="G396" s="383"/>
      <c r="H396" s="383"/>
      <c r="I396" s="383"/>
      <c r="J396" s="383"/>
      <c r="K396" s="383"/>
      <c r="L396" s="383"/>
      <c r="M396" s="286"/>
      <c r="N396" s="56"/>
    </row>
    <row r="397" spans="1:14" s="56" customFormat="1" ht="16" thickBot="1">
      <c r="D397" s="176" t="s">
        <v>787</v>
      </c>
      <c r="E397" s="106">
        <v>0</v>
      </c>
      <c r="F397" s="106">
        <v>0</v>
      </c>
      <c r="G397" s="106">
        <v>0</v>
      </c>
      <c r="H397" s="106">
        <v>0</v>
      </c>
      <c r="I397" s="106">
        <v>0</v>
      </c>
      <c r="J397" s="106">
        <v>0</v>
      </c>
      <c r="K397" s="106">
        <v>0</v>
      </c>
      <c r="L397" s="106">
        <v>0</v>
      </c>
      <c r="M397" s="164">
        <f>SUM(E397:L397)</f>
        <v>0</v>
      </c>
    </row>
    <row r="398" spans="1:14" ht="16" thickBot="1">
      <c r="A398" s="56"/>
      <c r="B398" s="56"/>
      <c r="C398" s="56"/>
      <c r="D398" s="4"/>
      <c r="E398" s="182"/>
      <c r="F398" s="182"/>
      <c r="G398" s="182"/>
      <c r="H398" s="182"/>
      <c r="I398" s="182"/>
      <c r="J398" s="182"/>
      <c r="K398" s="182"/>
      <c r="L398" s="182"/>
      <c r="M398" s="182"/>
      <c r="N398" s="56"/>
    </row>
    <row r="399" spans="1:14" ht="16" thickBot="1">
      <c r="A399" s="56"/>
      <c r="B399" s="56"/>
      <c r="C399" s="56"/>
      <c r="D399" s="296" t="s">
        <v>789</v>
      </c>
      <c r="E399" s="298"/>
      <c r="F399" s="182"/>
      <c r="G399" s="182"/>
      <c r="H399" s="182"/>
      <c r="I399" s="182"/>
      <c r="J399" s="182"/>
      <c r="K399" s="182"/>
      <c r="L399" s="182"/>
      <c r="M399" s="182"/>
      <c r="N399" s="56"/>
    </row>
    <row r="400" spans="1:14">
      <c r="A400" s="56"/>
      <c r="B400" s="56"/>
      <c r="C400" s="56"/>
      <c r="D400" s="153" t="s">
        <v>790</v>
      </c>
      <c r="E400" s="189">
        <v>0</v>
      </c>
      <c r="F400" s="182"/>
      <c r="G400" s="182"/>
      <c r="H400" s="182"/>
      <c r="I400" s="182"/>
      <c r="J400" s="182"/>
      <c r="K400" s="182"/>
      <c r="L400" s="182"/>
      <c r="M400" s="182"/>
      <c r="N400" s="56"/>
    </row>
    <row r="401" spans="1:14">
      <c r="A401" s="56"/>
      <c r="B401" s="56"/>
      <c r="C401" s="56"/>
      <c r="D401" s="23" t="s">
        <v>791</v>
      </c>
      <c r="E401" s="184">
        <f>+E400*0.5</f>
        <v>0</v>
      </c>
      <c r="F401" s="182"/>
      <c r="G401" s="182"/>
      <c r="H401" s="182"/>
      <c r="I401" s="182"/>
      <c r="J401" s="182"/>
      <c r="K401" s="182"/>
      <c r="L401" s="182"/>
      <c r="M401" s="182"/>
      <c r="N401" s="56"/>
    </row>
    <row r="402" spans="1:14">
      <c r="A402" s="56"/>
      <c r="B402" s="56"/>
      <c r="C402" s="56"/>
      <c r="D402" s="23" t="s">
        <v>792</v>
      </c>
      <c r="E402" s="41">
        <v>0</v>
      </c>
      <c r="F402" s="182"/>
      <c r="G402" s="182"/>
      <c r="H402" s="182"/>
      <c r="I402" s="182"/>
      <c r="J402" s="182"/>
      <c r="K402" s="182"/>
      <c r="L402" s="182"/>
      <c r="M402" s="182"/>
      <c r="N402" s="56"/>
    </row>
    <row r="403" spans="1:14" ht="16" thickBot="1">
      <c r="A403" s="56"/>
      <c r="B403" s="56"/>
      <c r="C403" s="56"/>
      <c r="D403" s="176" t="s">
        <v>793</v>
      </c>
      <c r="E403" s="186">
        <f>+E402-E401</f>
        <v>0</v>
      </c>
      <c r="F403" s="182"/>
      <c r="G403" s="182"/>
      <c r="H403" s="182"/>
      <c r="I403" s="182"/>
      <c r="J403" s="182"/>
      <c r="K403" s="182"/>
      <c r="L403" s="182"/>
      <c r="M403" s="182"/>
      <c r="N403" s="56"/>
    </row>
    <row r="404" spans="1:14" ht="16" thickBot="1">
      <c r="A404" s="56"/>
      <c r="B404" s="56"/>
      <c r="C404" s="56"/>
      <c r="D404" s="4"/>
      <c r="E404" s="182"/>
      <c r="F404" s="182"/>
      <c r="G404" s="182"/>
      <c r="H404" s="182"/>
      <c r="I404" s="182"/>
      <c r="J404" s="182"/>
      <c r="K404" s="182"/>
      <c r="L404" s="182"/>
      <c r="M404" s="182"/>
      <c r="N404" s="56"/>
    </row>
    <row r="405" spans="1:14" ht="16" thickBot="1">
      <c r="A405" s="56"/>
      <c r="B405" s="56"/>
      <c r="C405" s="56"/>
      <c r="D405" s="296" t="s">
        <v>794</v>
      </c>
      <c r="E405" s="298"/>
      <c r="F405" s="182"/>
      <c r="G405" s="182"/>
      <c r="H405" s="182"/>
      <c r="I405" s="182"/>
      <c r="J405" s="182"/>
      <c r="K405" s="182"/>
      <c r="L405" s="182"/>
      <c r="M405" s="182"/>
      <c r="N405" s="56"/>
    </row>
    <row r="406" spans="1:14">
      <c r="A406" s="56"/>
      <c r="B406" s="56"/>
      <c r="C406" s="56"/>
      <c r="D406" s="384" t="s">
        <v>795</v>
      </c>
      <c r="E406" s="385"/>
      <c r="F406" s="182"/>
      <c r="G406" s="182"/>
      <c r="H406" s="182"/>
      <c r="I406" s="182"/>
      <c r="J406" s="182"/>
      <c r="K406" s="182"/>
      <c r="L406" s="182"/>
      <c r="M406" s="182"/>
      <c r="N406" s="56"/>
    </row>
    <row r="407" spans="1:14">
      <c r="A407" s="56"/>
      <c r="B407" s="56"/>
      <c r="C407" s="56"/>
      <c r="D407" s="153" t="s">
        <v>798</v>
      </c>
      <c r="E407" s="41" t="s">
        <v>801</v>
      </c>
      <c r="F407" s="187"/>
      <c r="G407" s="187"/>
      <c r="H407" s="187"/>
      <c r="I407" s="182"/>
      <c r="J407" s="182"/>
      <c r="K407" s="182"/>
      <c r="L407" s="182"/>
      <c r="M407" s="182"/>
      <c r="N407" s="56"/>
    </row>
    <row r="408" spans="1:14">
      <c r="A408" s="56"/>
      <c r="B408" s="56"/>
      <c r="C408" s="56"/>
      <c r="D408" s="153" t="s">
        <v>796</v>
      </c>
      <c r="E408" s="41" t="s">
        <v>802</v>
      </c>
      <c r="F408" s="182"/>
      <c r="G408" s="182"/>
      <c r="H408" s="182"/>
      <c r="I408" s="182"/>
      <c r="J408" s="182"/>
      <c r="K408" s="182"/>
      <c r="L408" s="182"/>
      <c r="M408" s="182"/>
      <c r="N408" s="56"/>
    </row>
    <row r="409" spans="1:14">
      <c r="A409" s="56"/>
      <c r="B409" s="56"/>
      <c r="C409" s="56"/>
      <c r="D409" s="153" t="s">
        <v>797</v>
      </c>
      <c r="E409" s="41">
        <v>0</v>
      </c>
      <c r="F409" s="182"/>
      <c r="G409" s="182"/>
      <c r="H409" s="182"/>
      <c r="I409" s="182"/>
      <c r="J409" s="182"/>
      <c r="K409" s="182"/>
      <c r="L409" s="182"/>
      <c r="M409" s="182"/>
      <c r="N409" s="56"/>
    </row>
    <row r="410" spans="1:14">
      <c r="A410" s="56"/>
      <c r="B410" s="56"/>
      <c r="C410" s="56"/>
      <c r="D410" s="153" t="s">
        <v>799</v>
      </c>
      <c r="E410" s="41">
        <v>0</v>
      </c>
      <c r="F410" s="182"/>
      <c r="G410" s="182"/>
      <c r="H410" s="182"/>
      <c r="I410" s="182"/>
      <c r="J410" s="182"/>
      <c r="K410" s="182"/>
      <c r="L410" s="182"/>
      <c r="M410" s="182"/>
      <c r="N410" s="56"/>
    </row>
    <row r="411" spans="1:14" ht="16" thickBot="1">
      <c r="A411" s="56"/>
      <c r="B411" s="56"/>
      <c r="C411" s="56"/>
      <c r="D411" s="190" t="s">
        <v>800</v>
      </c>
      <c r="E411" s="99" t="s">
        <v>803</v>
      </c>
      <c r="F411" s="182"/>
      <c r="G411" s="182"/>
      <c r="H411" s="182"/>
      <c r="I411" s="182"/>
      <c r="J411" s="182"/>
      <c r="K411" s="182"/>
      <c r="L411" s="182"/>
      <c r="M411" s="182"/>
      <c r="N411" s="56"/>
    </row>
    <row r="412" spans="1:14" ht="16" thickBot="1">
      <c r="A412" s="56"/>
      <c r="B412" s="56"/>
      <c r="C412" s="56"/>
      <c r="D412" s="187"/>
      <c r="E412" s="182"/>
      <c r="F412" s="182"/>
      <c r="G412" s="182"/>
      <c r="H412" s="182"/>
      <c r="I412" s="182"/>
      <c r="J412" s="182"/>
      <c r="K412" s="182"/>
      <c r="L412" s="182"/>
      <c r="M412" s="182"/>
      <c r="N412" s="56"/>
    </row>
    <row r="413" spans="1:14" ht="16" thickBot="1">
      <c r="A413" s="56"/>
      <c r="B413" s="56"/>
      <c r="C413" s="56"/>
      <c r="D413" s="311" t="s">
        <v>804</v>
      </c>
      <c r="E413" s="360"/>
      <c r="F413" s="360"/>
      <c r="G413" s="360"/>
      <c r="H413" s="360"/>
      <c r="I413" s="360"/>
      <c r="J413" s="360"/>
      <c r="K413" s="360"/>
      <c r="L413" s="312"/>
      <c r="M413" s="56"/>
      <c r="N413" s="56"/>
    </row>
    <row r="414" spans="1:14">
      <c r="A414" s="56"/>
      <c r="B414" s="56"/>
      <c r="C414" s="56"/>
      <c r="D414" s="174" t="s">
        <v>805</v>
      </c>
      <c r="E414" s="169" t="str">
        <f>+E382</f>
        <v>Nord Stream AG (Stateless Permanent Establishment Finland)</v>
      </c>
      <c r="F414" s="169">
        <f t="shared" ref="F414:L414" si="24">+F382</f>
        <v>0</v>
      </c>
      <c r="G414" s="169">
        <f t="shared" si="24"/>
        <v>0</v>
      </c>
      <c r="H414" s="169">
        <f t="shared" si="24"/>
        <v>0</v>
      </c>
      <c r="I414" s="169">
        <f t="shared" si="24"/>
        <v>0</v>
      </c>
      <c r="J414" s="169">
        <f t="shared" si="24"/>
        <v>0</v>
      </c>
      <c r="K414" s="169">
        <f t="shared" si="24"/>
        <v>0</v>
      </c>
      <c r="L414" s="170">
        <f t="shared" si="24"/>
        <v>0</v>
      </c>
      <c r="M414" s="45" t="s">
        <v>245</v>
      </c>
      <c r="N414" s="45" t="s">
        <v>403</v>
      </c>
    </row>
    <row r="415" spans="1:14" ht="16" thickBot="1">
      <c r="A415" s="56"/>
      <c r="B415" s="56"/>
      <c r="C415" s="56"/>
      <c r="D415" s="176" t="s">
        <v>806</v>
      </c>
      <c r="E415" s="106" t="s">
        <v>807</v>
      </c>
      <c r="F415" s="106" t="s">
        <v>807</v>
      </c>
      <c r="G415" s="106" t="s">
        <v>807</v>
      </c>
      <c r="H415" s="106" t="s">
        <v>807</v>
      </c>
      <c r="I415" s="106" t="s">
        <v>807</v>
      </c>
      <c r="J415" s="106" t="s">
        <v>807</v>
      </c>
      <c r="K415" s="106" t="s">
        <v>807</v>
      </c>
      <c r="L415" s="99" t="s">
        <v>807</v>
      </c>
      <c r="M415" s="45" t="s">
        <v>404</v>
      </c>
      <c r="N415" s="45" t="s">
        <v>405</v>
      </c>
    </row>
    <row r="416" spans="1:14">
      <c r="A416" s="56"/>
      <c r="B416" s="56"/>
      <c r="C416" s="56"/>
      <c r="D416" s="56"/>
      <c r="E416" s="56"/>
      <c r="F416" s="7"/>
      <c r="G416" s="7"/>
      <c r="H416" s="7"/>
      <c r="I416" s="7"/>
      <c r="J416" s="7"/>
      <c r="K416" s="7"/>
      <c r="L416" s="7"/>
      <c r="M416" s="7"/>
      <c r="N416" s="7"/>
    </row>
    <row r="417" spans="1:15" ht="16" thickBot="1">
      <c r="A417" s="56"/>
      <c r="B417" s="56"/>
      <c r="C417" s="56"/>
      <c r="D417" s="56"/>
      <c r="E417" s="56"/>
      <c r="F417" s="7"/>
      <c r="G417" s="7"/>
      <c r="H417" s="7"/>
      <c r="I417" s="7"/>
      <c r="J417" s="7"/>
      <c r="K417" s="7"/>
      <c r="L417" s="7"/>
      <c r="M417" s="7"/>
      <c r="N417" s="7"/>
    </row>
    <row r="418" spans="1:15" ht="16" thickBot="1">
      <c r="A418" s="56"/>
      <c r="B418" s="56"/>
      <c r="C418" s="56"/>
      <c r="D418" s="296" t="s">
        <v>406</v>
      </c>
      <c r="E418" s="298" t="s">
        <v>1</v>
      </c>
      <c r="F418" s="2"/>
      <c r="G418" s="2"/>
      <c r="H418" s="2"/>
      <c r="I418" s="2"/>
      <c r="J418" s="7"/>
      <c r="K418" s="7"/>
      <c r="L418" s="7"/>
      <c r="M418" s="7"/>
      <c r="N418" s="7"/>
    </row>
    <row r="419" spans="1:15" ht="16" thickBot="1">
      <c r="A419" s="56"/>
      <c r="B419" s="56"/>
      <c r="C419" s="56"/>
      <c r="D419" s="296" t="s">
        <v>538</v>
      </c>
      <c r="E419" s="298"/>
      <c r="F419" s="2"/>
      <c r="G419" s="2"/>
      <c r="H419" s="2"/>
      <c r="I419" s="2"/>
      <c r="J419" s="7"/>
      <c r="K419" s="7"/>
      <c r="L419" s="7"/>
      <c r="M419" s="7"/>
      <c r="N419" s="7"/>
    </row>
    <row r="420" spans="1:15">
      <c r="A420" s="56"/>
      <c r="B420" s="56"/>
      <c r="C420" s="56"/>
      <c r="D420" s="202" t="s">
        <v>822</v>
      </c>
      <c r="E420" s="203">
        <f>IF(15%-E36&gt;0%,15%-E36,0)</f>
        <v>0</v>
      </c>
      <c r="F420" s="45" t="s">
        <v>407</v>
      </c>
      <c r="G420" s="45" t="s">
        <v>409</v>
      </c>
      <c r="H420" s="56"/>
      <c r="I420" s="56"/>
      <c r="J420" s="7"/>
      <c r="K420" s="7"/>
      <c r="L420" s="7"/>
      <c r="M420" s="7"/>
      <c r="N420" s="7"/>
      <c r="O420" s="32"/>
    </row>
    <row r="421" spans="1:15">
      <c r="A421" s="56"/>
      <c r="B421" s="56"/>
      <c r="C421" s="56"/>
      <c r="D421" s="24" t="s">
        <v>823</v>
      </c>
      <c r="E421" s="204">
        <f>+E437</f>
        <v>341400</v>
      </c>
      <c r="F421" s="45" t="s">
        <v>408</v>
      </c>
      <c r="G421" s="45" t="s">
        <v>411</v>
      </c>
      <c r="H421" s="56"/>
      <c r="I421" s="56"/>
      <c r="J421" s="7"/>
      <c r="K421" s="7"/>
      <c r="L421" s="7"/>
      <c r="M421" s="7"/>
      <c r="N421" s="7"/>
    </row>
    <row r="422" spans="1:15">
      <c r="A422" s="56"/>
      <c r="B422" s="56"/>
      <c r="C422" s="56"/>
      <c r="D422" s="24" t="s">
        <v>824</v>
      </c>
      <c r="E422" s="204">
        <f>+E16-E421</f>
        <v>238599</v>
      </c>
      <c r="F422" s="45" t="s">
        <v>410</v>
      </c>
      <c r="G422" s="45" t="s">
        <v>413</v>
      </c>
      <c r="H422" s="56"/>
      <c r="I422" s="56"/>
      <c r="J422" s="7"/>
      <c r="K422" s="7"/>
      <c r="L422" s="7"/>
      <c r="M422" s="7"/>
      <c r="N422" s="7"/>
    </row>
    <row r="423" spans="1:15">
      <c r="A423" s="56"/>
      <c r="B423" s="56"/>
      <c r="C423" s="56"/>
      <c r="D423" s="24" t="s">
        <v>825</v>
      </c>
      <c r="E423" s="205">
        <f>+E475</f>
        <v>0</v>
      </c>
      <c r="F423" s="45" t="s">
        <v>412</v>
      </c>
      <c r="G423" s="45" t="s">
        <v>415</v>
      </c>
      <c r="H423" s="56"/>
      <c r="I423" s="56"/>
      <c r="J423" s="7"/>
      <c r="K423" s="7"/>
      <c r="L423" s="7"/>
      <c r="M423" s="7"/>
      <c r="N423" s="7"/>
    </row>
    <row r="424" spans="1:15">
      <c r="A424" s="56"/>
      <c r="B424" s="56"/>
      <c r="C424" s="56"/>
      <c r="D424" s="24" t="s">
        <v>826</v>
      </c>
      <c r="E424" s="41">
        <v>0</v>
      </c>
      <c r="F424" s="45" t="s">
        <v>414</v>
      </c>
      <c r="G424" s="45" t="s">
        <v>417</v>
      </c>
      <c r="H424" s="56"/>
      <c r="I424" s="56"/>
      <c r="J424" s="7"/>
      <c r="K424" s="7"/>
      <c r="L424" s="7"/>
      <c r="M424" s="7"/>
      <c r="N424" s="7"/>
    </row>
    <row r="425" spans="1:15" ht="16" thickBot="1">
      <c r="A425" s="56"/>
      <c r="B425" s="56"/>
      <c r="C425" s="56"/>
      <c r="D425" s="25" t="s">
        <v>827</v>
      </c>
      <c r="E425" s="206">
        <f>+(E420*E422)+E423-E424</f>
        <v>0</v>
      </c>
      <c r="F425" s="45" t="s">
        <v>416</v>
      </c>
      <c r="G425" s="45" t="s">
        <v>419</v>
      </c>
      <c r="H425" s="56"/>
      <c r="I425" s="56"/>
      <c r="J425" s="7"/>
      <c r="K425" s="7"/>
      <c r="L425" s="7"/>
      <c r="M425" s="7"/>
      <c r="N425" s="7"/>
    </row>
    <row r="426" spans="1:15" ht="16" thickBot="1">
      <c r="A426" s="56"/>
      <c r="B426" s="56"/>
      <c r="C426" s="56"/>
      <c r="D426" s="56"/>
      <c r="E426" s="56"/>
      <c r="F426" s="45" t="s">
        <v>418</v>
      </c>
      <c r="G426" s="45"/>
      <c r="H426" s="56"/>
      <c r="I426" s="56"/>
      <c r="J426" s="7"/>
      <c r="K426" s="7"/>
      <c r="L426" s="7"/>
      <c r="M426" s="7"/>
      <c r="N426" s="7"/>
    </row>
    <row r="427" spans="1:15" ht="16" hidden="1" thickBot="1">
      <c r="A427" s="56"/>
      <c r="B427" s="56"/>
      <c r="C427" s="56"/>
      <c r="D427" s="56"/>
      <c r="E427" s="56"/>
      <c r="F427" s="56"/>
      <c r="G427" s="56"/>
      <c r="H427" s="56"/>
      <c r="I427" s="56"/>
      <c r="J427" s="7"/>
      <c r="K427" s="7"/>
      <c r="L427" s="7"/>
      <c r="M427" s="7"/>
      <c r="N427" s="7"/>
    </row>
    <row r="428" spans="1:15" ht="16" thickBot="1">
      <c r="A428" s="56"/>
      <c r="B428" s="56"/>
      <c r="C428" s="56"/>
      <c r="D428" s="296" t="s">
        <v>420</v>
      </c>
      <c r="E428" s="298" t="s">
        <v>1</v>
      </c>
      <c r="F428" s="56"/>
      <c r="G428" s="56"/>
      <c r="H428" s="56"/>
      <c r="I428" s="56"/>
      <c r="J428" s="7"/>
      <c r="K428" s="7"/>
      <c r="L428" s="7"/>
      <c r="M428" s="7"/>
      <c r="N428" s="7"/>
    </row>
    <row r="429" spans="1:15" ht="16" thickBot="1">
      <c r="A429" s="56"/>
      <c r="B429" s="56"/>
      <c r="C429" s="56"/>
      <c r="D429" s="311" t="s">
        <v>833</v>
      </c>
      <c r="E429" s="312"/>
      <c r="F429" s="45"/>
      <c r="G429" s="45" t="s">
        <v>421</v>
      </c>
      <c r="I429" s="56"/>
      <c r="J429" s="7"/>
      <c r="K429" s="7"/>
      <c r="L429" s="7"/>
      <c r="M429" s="7"/>
      <c r="N429" s="7"/>
    </row>
    <row r="430" spans="1:15">
      <c r="A430" s="56"/>
      <c r="B430" s="56"/>
      <c r="C430" s="56"/>
      <c r="D430" s="386" t="s">
        <v>835</v>
      </c>
      <c r="E430" s="387"/>
      <c r="F430" s="45"/>
      <c r="G430" s="45"/>
      <c r="I430" s="56"/>
      <c r="J430" s="7"/>
      <c r="K430" s="7"/>
      <c r="L430" s="7"/>
      <c r="M430" s="7"/>
      <c r="N430" s="7"/>
    </row>
    <row r="431" spans="1:15">
      <c r="A431" s="56"/>
      <c r="B431" s="56"/>
      <c r="C431" s="56"/>
      <c r="D431" s="24" t="s">
        <v>828</v>
      </c>
      <c r="E431" s="204">
        <f>+M442</f>
        <v>300000</v>
      </c>
      <c r="F431" s="45" t="s">
        <v>422</v>
      </c>
      <c r="G431" s="45" t="s">
        <v>423</v>
      </c>
      <c r="I431" s="56"/>
      <c r="J431" s="7"/>
      <c r="K431" s="7"/>
      <c r="L431" s="7"/>
      <c r="M431" s="7"/>
      <c r="N431" s="7"/>
    </row>
    <row r="432" spans="1:15" ht="16" thickBot="1">
      <c r="A432" s="56"/>
      <c r="B432" s="56"/>
      <c r="C432" s="56"/>
      <c r="D432" s="208" t="s">
        <v>829</v>
      </c>
      <c r="E432" s="209">
        <v>9.8000000000000004E-2</v>
      </c>
      <c r="F432" s="45" t="s">
        <v>424</v>
      </c>
      <c r="G432" s="45" t="s">
        <v>425</v>
      </c>
      <c r="I432" s="56"/>
      <c r="J432" s="7"/>
      <c r="K432" s="7"/>
      <c r="L432" s="7"/>
      <c r="M432" s="7"/>
      <c r="N432" s="7"/>
    </row>
    <row r="433" spans="1:30">
      <c r="A433" s="56"/>
      <c r="B433" s="56"/>
      <c r="C433" s="56"/>
      <c r="D433" s="379" t="s">
        <v>836</v>
      </c>
      <c r="E433" s="380"/>
      <c r="F433" s="45"/>
      <c r="G433" s="45"/>
      <c r="I433" s="56"/>
      <c r="J433" s="7"/>
      <c r="K433" s="7"/>
      <c r="L433" s="7"/>
      <c r="M433" s="7"/>
      <c r="N433" s="7"/>
    </row>
    <row r="434" spans="1:30">
      <c r="A434" s="56"/>
      <c r="B434" s="56"/>
      <c r="C434" s="56"/>
      <c r="D434" s="24" t="s">
        <v>830</v>
      </c>
      <c r="E434" s="204">
        <f>+M443</f>
        <v>4000000</v>
      </c>
      <c r="F434" s="45" t="s">
        <v>426</v>
      </c>
      <c r="G434" s="45" t="s">
        <v>427</v>
      </c>
      <c r="I434" s="92"/>
      <c r="J434" s="7"/>
      <c r="K434" s="7"/>
      <c r="L434" s="7"/>
      <c r="M434" s="7"/>
      <c r="N434" s="7"/>
    </row>
    <row r="435" spans="1:30" ht="16" thickBot="1">
      <c r="A435" s="56"/>
      <c r="B435" s="56"/>
      <c r="C435" s="56"/>
      <c r="D435" s="208" t="s">
        <v>831</v>
      </c>
      <c r="E435" s="209">
        <v>7.8E-2</v>
      </c>
      <c r="F435" s="45" t="s">
        <v>428</v>
      </c>
      <c r="G435" s="45" t="s">
        <v>429</v>
      </c>
      <c r="I435" s="56"/>
      <c r="J435" s="7"/>
      <c r="K435" s="7"/>
      <c r="L435" s="7"/>
      <c r="M435" s="7"/>
      <c r="N435" s="7"/>
    </row>
    <row r="436" spans="1:30">
      <c r="A436" s="56"/>
      <c r="B436" s="56"/>
      <c r="C436" s="56"/>
      <c r="D436" s="379" t="s">
        <v>114</v>
      </c>
      <c r="E436" s="380"/>
      <c r="F436" s="45"/>
      <c r="G436" s="45"/>
      <c r="I436" s="56"/>
      <c r="J436" s="7"/>
      <c r="K436" s="7"/>
      <c r="L436" s="7"/>
      <c r="M436" s="7"/>
      <c r="N436" s="7"/>
    </row>
    <row r="437" spans="1:30" ht="16" thickBot="1">
      <c r="A437" s="56"/>
      <c r="B437" s="56"/>
      <c r="C437" s="56"/>
      <c r="D437" s="25" t="s">
        <v>832</v>
      </c>
      <c r="E437" s="206">
        <f>(E431*E432)+(E434*E435)</f>
        <v>341400</v>
      </c>
      <c r="F437" s="45" t="s">
        <v>430</v>
      </c>
      <c r="G437" s="45" t="s">
        <v>431</v>
      </c>
      <c r="I437" s="56"/>
      <c r="J437" s="7"/>
      <c r="K437" s="7"/>
      <c r="L437" s="7"/>
      <c r="M437" s="7"/>
      <c r="N437" s="7"/>
    </row>
    <row r="438" spans="1:30">
      <c r="A438" s="56"/>
      <c r="B438" s="56"/>
      <c r="C438" s="56"/>
      <c r="D438" s="56"/>
      <c r="E438" s="56"/>
      <c r="F438" s="56"/>
      <c r="G438" s="56"/>
      <c r="H438" s="56"/>
      <c r="I438" s="56"/>
      <c r="J438" s="7"/>
      <c r="K438" s="7"/>
      <c r="L438" s="7"/>
      <c r="M438" s="7"/>
      <c r="N438" s="7"/>
    </row>
    <row r="439" spans="1:30" ht="16" thickBot="1">
      <c r="A439" s="56"/>
      <c r="B439" s="56"/>
      <c r="C439" s="56"/>
      <c r="D439" s="56"/>
      <c r="E439" s="56"/>
      <c r="F439" s="56"/>
      <c r="G439" s="56"/>
      <c r="H439" s="56"/>
      <c r="I439" s="56"/>
      <c r="J439" s="7"/>
      <c r="K439" s="7"/>
      <c r="L439" s="7"/>
      <c r="M439" s="7"/>
      <c r="N439" s="7"/>
    </row>
    <row r="440" spans="1:30" ht="16" thickBot="1">
      <c r="A440" s="56"/>
      <c r="B440" s="56"/>
      <c r="C440" s="56"/>
      <c r="D440" s="296" t="s">
        <v>834</v>
      </c>
      <c r="E440" s="297"/>
      <c r="F440" s="297"/>
      <c r="G440" s="297"/>
      <c r="H440" s="297"/>
      <c r="I440" s="297"/>
      <c r="J440" s="297"/>
      <c r="K440" s="297"/>
      <c r="L440" s="297"/>
      <c r="M440" s="298"/>
      <c r="N440" s="45" t="s">
        <v>432</v>
      </c>
      <c r="O440" s="45"/>
    </row>
    <row r="441" spans="1:30" ht="16" thickBot="1">
      <c r="A441" s="56"/>
      <c r="B441" s="56"/>
      <c r="C441" s="56"/>
      <c r="D441" s="210"/>
      <c r="E441" s="211" t="str">
        <f>+E414</f>
        <v>Nord Stream AG (Stateless Permanent Establishment Finland)</v>
      </c>
      <c r="F441" s="211">
        <f t="shared" ref="F441:L441" si="25">+F414</f>
        <v>0</v>
      </c>
      <c r="G441" s="211">
        <f t="shared" si="25"/>
        <v>0</v>
      </c>
      <c r="H441" s="211">
        <f t="shared" si="25"/>
        <v>0</v>
      </c>
      <c r="I441" s="211">
        <f t="shared" si="25"/>
        <v>0</v>
      </c>
      <c r="J441" s="211">
        <f t="shared" si="25"/>
        <v>0</v>
      </c>
      <c r="K441" s="211">
        <f t="shared" si="25"/>
        <v>0</v>
      </c>
      <c r="L441" s="211">
        <f t="shared" si="25"/>
        <v>0</v>
      </c>
      <c r="M441" s="212" t="s">
        <v>843</v>
      </c>
      <c r="N441" s="45" t="s">
        <v>245</v>
      </c>
      <c r="O441" s="45"/>
    </row>
    <row r="442" spans="1:30" ht="58.5" customHeight="1">
      <c r="A442" s="56"/>
      <c r="B442" s="56"/>
      <c r="C442" s="56"/>
      <c r="D442" s="207" t="s">
        <v>838</v>
      </c>
      <c r="E442" s="194">
        <v>300000</v>
      </c>
      <c r="F442" s="194">
        <v>0</v>
      </c>
      <c r="G442" s="194">
        <v>0</v>
      </c>
      <c r="H442" s="194">
        <v>0</v>
      </c>
      <c r="I442" s="194">
        <v>0</v>
      </c>
      <c r="J442" s="194">
        <v>0</v>
      </c>
      <c r="K442" s="194">
        <v>0</v>
      </c>
      <c r="L442" s="194">
        <v>0</v>
      </c>
      <c r="M442" s="213">
        <f>SUM(E442:L442)</f>
        <v>300000</v>
      </c>
      <c r="N442" s="45" t="s">
        <v>422</v>
      </c>
      <c r="O442" s="45" t="s">
        <v>433</v>
      </c>
      <c r="P442" s="325" t="s">
        <v>434</v>
      </c>
      <c r="Q442" s="326"/>
      <c r="R442" s="326"/>
      <c r="S442" s="326"/>
      <c r="T442" s="326"/>
      <c r="U442" s="326"/>
      <c r="V442" s="326"/>
      <c r="W442" s="326"/>
      <c r="X442" s="326"/>
      <c r="Y442" s="326"/>
      <c r="Z442" s="326"/>
      <c r="AA442" s="326"/>
      <c r="AB442" s="326"/>
      <c r="AC442" s="326"/>
      <c r="AD442" s="327"/>
    </row>
    <row r="443" spans="1:30" ht="69.5" customHeight="1">
      <c r="A443" s="56"/>
      <c r="B443" s="56"/>
      <c r="C443" s="56"/>
      <c r="D443" s="141" t="s">
        <v>839</v>
      </c>
      <c r="E443" s="42">
        <v>4000000</v>
      </c>
      <c r="F443" s="42">
        <v>0</v>
      </c>
      <c r="G443" s="42">
        <v>0</v>
      </c>
      <c r="H443" s="42">
        <v>0</v>
      </c>
      <c r="I443" s="42">
        <v>0</v>
      </c>
      <c r="J443" s="42">
        <v>0</v>
      </c>
      <c r="K443" s="42">
        <v>0</v>
      </c>
      <c r="L443" s="42">
        <v>0</v>
      </c>
      <c r="M443" s="204">
        <f>SUM(E443:L443)</f>
        <v>4000000</v>
      </c>
      <c r="N443" s="45" t="s">
        <v>426</v>
      </c>
      <c r="O443" s="45" t="s">
        <v>435</v>
      </c>
      <c r="P443" s="325" t="s">
        <v>436</v>
      </c>
      <c r="Q443" s="326"/>
      <c r="R443" s="326"/>
      <c r="S443" s="326"/>
      <c r="T443" s="326"/>
      <c r="U443" s="326"/>
      <c r="V443" s="326"/>
      <c r="W443" s="326"/>
      <c r="X443" s="326"/>
      <c r="Y443" s="326"/>
      <c r="Z443" s="326"/>
      <c r="AA443" s="326"/>
      <c r="AB443" s="326"/>
      <c r="AC443" s="326"/>
      <c r="AD443" s="327"/>
    </row>
    <row r="444" spans="1:30">
      <c r="A444" s="56"/>
      <c r="B444" s="56"/>
      <c r="C444" s="56"/>
      <c r="D444" s="141" t="s">
        <v>439</v>
      </c>
      <c r="E444" s="42" t="s">
        <v>840</v>
      </c>
      <c r="F444" s="42" t="s">
        <v>840</v>
      </c>
      <c r="G444" s="42" t="s">
        <v>840</v>
      </c>
      <c r="H444" s="42" t="s">
        <v>840</v>
      </c>
      <c r="I444" s="42" t="s">
        <v>840</v>
      </c>
      <c r="J444" s="42" t="s">
        <v>840</v>
      </c>
      <c r="K444" s="42" t="s">
        <v>840</v>
      </c>
      <c r="L444" s="42" t="s">
        <v>840</v>
      </c>
      <c r="M444" s="204"/>
      <c r="N444" s="45" t="s">
        <v>437</v>
      </c>
      <c r="O444" s="45" t="s">
        <v>438</v>
      </c>
    </row>
    <row r="445" spans="1:30">
      <c r="A445" s="56"/>
      <c r="B445" s="56"/>
      <c r="C445" s="56"/>
      <c r="D445" s="141" t="s">
        <v>841</v>
      </c>
      <c r="E445" s="42">
        <v>0</v>
      </c>
      <c r="F445" s="42">
        <v>0</v>
      </c>
      <c r="G445" s="42">
        <v>0</v>
      </c>
      <c r="H445" s="42">
        <v>0</v>
      </c>
      <c r="I445" s="42">
        <v>0</v>
      </c>
      <c r="J445" s="42">
        <v>0</v>
      </c>
      <c r="K445" s="42">
        <v>0</v>
      </c>
      <c r="L445" s="42">
        <v>0</v>
      </c>
      <c r="M445" s="204">
        <f>SUM(E445:L445)</f>
        <v>0</v>
      </c>
      <c r="N445" s="45" t="s">
        <v>422</v>
      </c>
      <c r="O445" s="45" t="s">
        <v>440</v>
      </c>
    </row>
    <row r="446" spans="1:30" ht="16" thickBot="1">
      <c r="A446" s="56"/>
      <c r="B446" s="56"/>
      <c r="C446" s="56"/>
      <c r="D446" s="201" t="s">
        <v>837</v>
      </c>
      <c r="E446" s="106">
        <v>0</v>
      </c>
      <c r="F446" s="106">
        <v>0</v>
      </c>
      <c r="G446" s="106">
        <v>0</v>
      </c>
      <c r="H446" s="106">
        <v>0</v>
      </c>
      <c r="I446" s="106">
        <v>0</v>
      </c>
      <c r="J446" s="106">
        <v>0</v>
      </c>
      <c r="K446" s="106">
        <v>0</v>
      </c>
      <c r="L446" s="106">
        <v>0</v>
      </c>
      <c r="M446" s="206">
        <f>SUM(E446:L446)</f>
        <v>0</v>
      </c>
      <c r="N446" s="45" t="s">
        <v>426</v>
      </c>
      <c r="O446" s="45" t="s">
        <v>441</v>
      </c>
    </row>
    <row r="447" spans="1:30">
      <c r="A447" s="56"/>
      <c r="B447" s="56"/>
      <c r="C447" s="56"/>
      <c r="D447" s="56"/>
      <c r="E447" s="56"/>
      <c r="F447" s="56"/>
      <c r="G447" s="56"/>
      <c r="H447" s="56"/>
      <c r="I447" s="56"/>
      <c r="J447" s="7"/>
      <c r="K447" s="7"/>
      <c r="L447" s="7"/>
      <c r="M447" s="7"/>
      <c r="N447" s="7"/>
    </row>
    <row r="448" spans="1:30" ht="16" thickBot="1">
      <c r="A448" s="56"/>
      <c r="B448" s="56"/>
      <c r="C448" s="56"/>
      <c r="D448" s="56"/>
      <c r="E448" s="56"/>
      <c r="F448" s="56"/>
      <c r="G448" s="56"/>
      <c r="H448" s="56"/>
      <c r="I448" s="56"/>
      <c r="J448" s="7"/>
      <c r="K448" s="7"/>
      <c r="L448" s="7"/>
      <c r="M448" s="7"/>
      <c r="N448" s="7"/>
    </row>
    <row r="449" spans="1:15" ht="16" thickBot="1">
      <c r="A449" s="56"/>
      <c r="B449" s="56"/>
      <c r="C449" s="56"/>
      <c r="D449" s="296" t="s">
        <v>842</v>
      </c>
      <c r="E449" s="297"/>
      <c r="F449" s="297"/>
      <c r="G449" s="297"/>
      <c r="H449" s="297"/>
      <c r="I449" s="297"/>
      <c r="J449" s="297"/>
      <c r="K449" s="297"/>
      <c r="L449" s="297"/>
      <c r="M449" s="298"/>
      <c r="N449" s="45" t="s">
        <v>442</v>
      </c>
      <c r="O449" s="45"/>
    </row>
    <row r="450" spans="1:15" ht="16" thickBot="1">
      <c r="A450" s="56"/>
      <c r="B450" s="56"/>
      <c r="C450" s="56"/>
      <c r="D450" s="214"/>
      <c r="E450" s="211" t="str">
        <f>+E441</f>
        <v>Nord Stream AG (Stateless Permanent Establishment Finland)</v>
      </c>
      <c r="F450" s="211">
        <f t="shared" ref="F450:L452" si="26">+F441</f>
        <v>0</v>
      </c>
      <c r="G450" s="211">
        <f t="shared" si="26"/>
        <v>0</v>
      </c>
      <c r="H450" s="211">
        <f t="shared" si="26"/>
        <v>0</v>
      </c>
      <c r="I450" s="211">
        <f t="shared" si="26"/>
        <v>0</v>
      </c>
      <c r="J450" s="211">
        <f t="shared" si="26"/>
        <v>0</v>
      </c>
      <c r="K450" s="211">
        <f t="shared" si="26"/>
        <v>0</v>
      </c>
      <c r="L450" s="211">
        <f t="shared" si="26"/>
        <v>0</v>
      </c>
      <c r="M450" s="212" t="s">
        <v>843</v>
      </c>
      <c r="N450" s="45"/>
      <c r="O450" s="45"/>
    </row>
    <row r="451" spans="1:15">
      <c r="A451" s="56"/>
      <c r="B451" s="56"/>
      <c r="C451" s="56"/>
      <c r="D451" s="168" t="s">
        <v>838</v>
      </c>
      <c r="E451" s="219">
        <f>+E442</f>
        <v>300000</v>
      </c>
      <c r="F451" s="219">
        <f t="shared" si="26"/>
        <v>0</v>
      </c>
      <c r="G451" s="219">
        <f t="shared" si="26"/>
        <v>0</v>
      </c>
      <c r="H451" s="219">
        <f t="shared" si="26"/>
        <v>0</v>
      </c>
      <c r="I451" s="219">
        <f t="shared" si="26"/>
        <v>0</v>
      </c>
      <c r="J451" s="219">
        <f t="shared" si="26"/>
        <v>0</v>
      </c>
      <c r="K451" s="219">
        <f t="shared" si="26"/>
        <v>0</v>
      </c>
      <c r="L451" s="219">
        <f t="shared" si="26"/>
        <v>0</v>
      </c>
      <c r="M451" s="220">
        <f>+M442</f>
        <v>300000</v>
      </c>
      <c r="N451" s="45" t="s">
        <v>422</v>
      </c>
      <c r="O451" s="45" t="s">
        <v>443</v>
      </c>
    </row>
    <row r="452" spans="1:15" ht="15" customHeight="1">
      <c r="A452" s="56"/>
      <c r="B452" s="56"/>
      <c r="C452" s="56"/>
      <c r="D452" s="161" t="s">
        <v>839</v>
      </c>
      <c r="E452" s="215">
        <f>+E443</f>
        <v>4000000</v>
      </c>
      <c r="F452" s="215">
        <f t="shared" si="26"/>
        <v>0</v>
      </c>
      <c r="G452" s="215">
        <f t="shared" si="26"/>
        <v>0</v>
      </c>
      <c r="H452" s="215">
        <f t="shared" si="26"/>
        <v>0</v>
      </c>
      <c r="I452" s="215">
        <f t="shared" si="26"/>
        <v>0</v>
      </c>
      <c r="J452" s="215">
        <f t="shared" si="26"/>
        <v>0</v>
      </c>
      <c r="K452" s="215">
        <f t="shared" si="26"/>
        <v>0</v>
      </c>
      <c r="L452" s="215">
        <f t="shared" si="26"/>
        <v>0</v>
      </c>
      <c r="M452" s="221">
        <f>+M443</f>
        <v>4000000</v>
      </c>
      <c r="N452" s="45" t="s">
        <v>426</v>
      </c>
      <c r="O452" s="45" t="s">
        <v>444</v>
      </c>
    </row>
    <row r="453" spans="1:15">
      <c r="A453" s="56"/>
      <c r="B453" s="56"/>
      <c r="C453" s="56"/>
      <c r="D453" s="161" t="s">
        <v>446</v>
      </c>
      <c r="E453" s="42" t="s">
        <v>844</v>
      </c>
      <c r="F453" s="42" t="s">
        <v>844</v>
      </c>
      <c r="G453" s="42" t="s">
        <v>844</v>
      </c>
      <c r="H453" s="42" t="s">
        <v>844</v>
      </c>
      <c r="I453" s="42" t="s">
        <v>844</v>
      </c>
      <c r="J453" s="42" t="s">
        <v>844</v>
      </c>
      <c r="K453" s="42" t="s">
        <v>844</v>
      </c>
      <c r="L453" s="42" t="s">
        <v>844</v>
      </c>
      <c r="M453" s="222"/>
      <c r="N453" s="45" t="s">
        <v>437</v>
      </c>
      <c r="O453" s="45" t="s">
        <v>445</v>
      </c>
    </row>
    <row r="454" spans="1:15">
      <c r="A454" s="56"/>
      <c r="B454" s="56"/>
      <c r="C454" s="56"/>
      <c r="D454" s="161" t="s">
        <v>448</v>
      </c>
      <c r="E454" s="42">
        <v>0</v>
      </c>
      <c r="F454" s="42">
        <v>0</v>
      </c>
      <c r="G454" s="42">
        <v>0</v>
      </c>
      <c r="H454" s="42">
        <v>0</v>
      </c>
      <c r="I454" s="42">
        <v>0</v>
      </c>
      <c r="J454" s="42">
        <v>0</v>
      </c>
      <c r="K454" s="42">
        <v>0</v>
      </c>
      <c r="L454" s="42">
        <v>0</v>
      </c>
      <c r="M454" s="204">
        <f>SUM(E454:L454)</f>
        <v>0</v>
      </c>
      <c r="N454" s="45" t="s">
        <v>422</v>
      </c>
      <c r="O454" s="45" t="s">
        <v>447</v>
      </c>
    </row>
    <row r="455" spans="1:15" ht="16" thickBot="1">
      <c r="A455" s="56"/>
      <c r="B455" s="56"/>
      <c r="C455" s="56"/>
      <c r="D455" s="162" t="s">
        <v>450</v>
      </c>
      <c r="E455" s="106">
        <v>0</v>
      </c>
      <c r="F455" s="106">
        <v>0</v>
      </c>
      <c r="G455" s="106">
        <v>0</v>
      </c>
      <c r="H455" s="106">
        <v>0</v>
      </c>
      <c r="I455" s="106">
        <v>0</v>
      </c>
      <c r="J455" s="106">
        <v>0</v>
      </c>
      <c r="K455" s="106">
        <v>0</v>
      </c>
      <c r="L455" s="106">
        <v>0</v>
      </c>
      <c r="M455" s="206">
        <f>SUM(E455:L455)</f>
        <v>0</v>
      </c>
      <c r="N455" s="45" t="s">
        <v>426</v>
      </c>
      <c r="O455" s="45" t="s">
        <v>449</v>
      </c>
    </row>
    <row r="456" spans="1:15" ht="15" customHeight="1" thickBot="1"/>
    <row r="457" spans="1:15" ht="15" hidden="1" customHeight="1" thickBot="1"/>
    <row r="458" spans="1:15" ht="16" thickBot="1">
      <c r="D458" s="296" t="s">
        <v>451</v>
      </c>
      <c r="E458" s="298" t="s">
        <v>102</v>
      </c>
      <c r="F458" s="10"/>
      <c r="G458" s="10"/>
      <c r="H458" s="10"/>
      <c r="I458" s="10"/>
      <c r="J458" s="10"/>
      <c r="K458" s="10"/>
      <c r="L458" s="10"/>
      <c r="M458" s="10"/>
      <c r="N458" s="10"/>
    </row>
    <row r="459" spans="1:15" ht="16" thickBot="1">
      <c r="D459" s="296" t="s">
        <v>845</v>
      </c>
      <c r="E459" s="298"/>
      <c r="F459" s="5"/>
      <c r="G459" s="5"/>
      <c r="H459" s="5"/>
      <c r="I459" s="5"/>
      <c r="J459" s="5"/>
      <c r="K459" s="5"/>
      <c r="L459" s="5"/>
      <c r="M459" s="5"/>
      <c r="N459" s="5"/>
    </row>
    <row r="460" spans="1:15">
      <c r="D460" s="202" t="s">
        <v>846</v>
      </c>
      <c r="E460" s="195"/>
      <c r="F460" s="45" t="s">
        <v>452</v>
      </c>
      <c r="G460" s="5"/>
      <c r="H460" s="5"/>
      <c r="I460" s="5"/>
      <c r="J460" s="5"/>
      <c r="K460" s="5"/>
      <c r="L460" s="5"/>
      <c r="M460" s="5"/>
      <c r="N460" s="5"/>
    </row>
    <row r="461" spans="1:15" ht="16" thickBot="1">
      <c r="D461" s="208" t="s">
        <v>847</v>
      </c>
      <c r="E461" s="112"/>
      <c r="F461" s="45" t="s">
        <v>374</v>
      </c>
      <c r="G461" s="5"/>
      <c r="H461" s="5"/>
      <c r="I461" s="56"/>
      <c r="J461" s="56"/>
      <c r="K461" s="56"/>
      <c r="L461" s="56"/>
      <c r="M461" s="5"/>
      <c r="N461" s="5"/>
    </row>
    <row r="462" spans="1:15">
      <c r="D462" s="216" t="s">
        <v>848</v>
      </c>
      <c r="E462" s="217" t="s">
        <v>849</v>
      </c>
      <c r="F462" s="218" t="s">
        <v>850</v>
      </c>
      <c r="G462" s="5"/>
      <c r="H462" s="5"/>
      <c r="I462" s="56"/>
      <c r="J462" s="56"/>
      <c r="K462" s="56"/>
      <c r="L462" s="56"/>
      <c r="M462" s="5"/>
      <c r="N462" s="5"/>
    </row>
    <row r="463" spans="1:15">
      <c r="D463" s="24" t="s">
        <v>851</v>
      </c>
      <c r="E463" s="42"/>
      <c r="F463" s="41"/>
      <c r="G463" s="45" t="s">
        <v>10</v>
      </c>
      <c r="H463" s="5"/>
      <c r="I463" s="56"/>
      <c r="J463" s="56"/>
      <c r="K463" s="56"/>
      <c r="L463" s="56"/>
      <c r="M463" s="5"/>
      <c r="N463" s="5"/>
    </row>
    <row r="464" spans="1:15">
      <c r="D464" s="24" t="s">
        <v>852</v>
      </c>
      <c r="E464" s="42"/>
      <c r="F464" s="41"/>
      <c r="G464" s="45" t="s">
        <v>14</v>
      </c>
      <c r="H464" s="5"/>
      <c r="I464" s="56"/>
      <c r="J464" s="56"/>
      <c r="K464" s="56"/>
      <c r="L464" s="56"/>
      <c r="M464" s="5"/>
      <c r="N464" s="5"/>
    </row>
    <row r="465" spans="4:14">
      <c r="D465" s="24" t="s">
        <v>853</v>
      </c>
      <c r="E465" s="42"/>
      <c r="F465" s="41"/>
      <c r="G465" s="45" t="s">
        <v>16</v>
      </c>
      <c r="H465" s="5"/>
      <c r="I465" s="5"/>
      <c r="J465" s="5"/>
      <c r="K465" s="5"/>
      <c r="L465" s="5"/>
      <c r="M465" s="5"/>
      <c r="N465" s="5"/>
    </row>
    <row r="466" spans="4:14">
      <c r="D466" s="24" t="s">
        <v>854</v>
      </c>
      <c r="E466" s="42"/>
      <c r="F466" s="41"/>
      <c r="G466" s="45" t="s">
        <v>453</v>
      </c>
      <c r="H466" s="5"/>
      <c r="I466" s="5"/>
      <c r="J466" s="5"/>
      <c r="K466" s="5"/>
      <c r="L466" s="5"/>
      <c r="M466" s="5"/>
      <c r="N466" s="5"/>
    </row>
    <row r="467" spans="4:14">
      <c r="D467" s="24" t="s">
        <v>855</v>
      </c>
      <c r="E467" s="42"/>
      <c r="F467" s="41"/>
      <c r="G467" s="45" t="s">
        <v>408</v>
      </c>
      <c r="H467" s="5"/>
      <c r="I467" s="5"/>
      <c r="J467" s="5"/>
      <c r="K467" s="5"/>
      <c r="L467" s="5"/>
      <c r="M467" s="5"/>
      <c r="N467" s="5"/>
    </row>
    <row r="468" spans="4:14">
      <c r="D468" s="24" t="s">
        <v>856</v>
      </c>
      <c r="E468" s="42"/>
      <c r="F468" s="41"/>
      <c r="G468" s="45" t="s">
        <v>418</v>
      </c>
      <c r="H468" s="5"/>
      <c r="I468" s="5"/>
      <c r="J468" s="5"/>
      <c r="K468" s="5"/>
      <c r="L468" s="5"/>
      <c r="M468" s="5"/>
      <c r="N468" s="5"/>
    </row>
    <row r="469" spans="4:14" ht="16" thickBot="1">
      <c r="D469" s="25" t="s">
        <v>857</v>
      </c>
      <c r="E469" s="381"/>
      <c r="F469" s="382"/>
      <c r="G469" s="45" t="s">
        <v>414</v>
      </c>
      <c r="H469" s="5"/>
      <c r="I469" s="5"/>
      <c r="J469" s="5"/>
      <c r="K469" s="5"/>
      <c r="L469" s="5"/>
      <c r="M469" s="5"/>
      <c r="N469" s="5"/>
    </row>
    <row r="470" spans="4:14" ht="16" thickBot="1">
      <c r="E470" s="5"/>
      <c r="F470" s="5"/>
      <c r="G470" s="5"/>
      <c r="H470" s="5"/>
      <c r="I470" s="5"/>
      <c r="J470" s="5"/>
      <c r="K470" s="5"/>
      <c r="L470" s="5"/>
      <c r="M470" s="5"/>
      <c r="N470" s="5"/>
    </row>
    <row r="471" spans="4:14" ht="16" thickBot="1">
      <c r="D471" s="296" t="s">
        <v>858</v>
      </c>
      <c r="E471" s="298" t="s">
        <v>455</v>
      </c>
      <c r="F471" s="45" t="s">
        <v>454</v>
      </c>
      <c r="G471" s="5"/>
      <c r="H471" s="5"/>
      <c r="I471" s="5"/>
      <c r="J471" s="5"/>
      <c r="K471" s="5"/>
      <c r="L471" s="5"/>
      <c r="M471" s="5"/>
      <c r="N471" s="5"/>
    </row>
    <row r="472" spans="4:14">
      <c r="D472" s="202" t="s">
        <v>859</v>
      </c>
      <c r="E472" s="195"/>
      <c r="F472" s="45" t="s">
        <v>101</v>
      </c>
      <c r="G472" s="5"/>
      <c r="H472" s="5"/>
      <c r="I472" s="5"/>
      <c r="J472" s="5"/>
      <c r="K472" s="5"/>
      <c r="L472" s="5"/>
      <c r="M472" s="5"/>
      <c r="N472" s="5"/>
    </row>
    <row r="473" spans="4:14">
      <c r="D473" s="24" t="s">
        <v>860</v>
      </c>
      <c r="E473" s="41"/>
      <c r="F473" s="45" t="s">
        <v>456</v>
      </c>
      <c r="G473" s="56"/>
      <c r="H473" s="5"/>
      <c r="I473" s="5"/>
      <c r="J473" s="5"/>
      <c r="K473" s="5"/>
      <c r="L473" s="5"/>
      <c r="M473" s="5"/>
      <c r="N473" s="5"/>
    </row>
    <row r="474" spans="4:14">
      <c r="D474" s="24" t="s">
        <v>861</v>
      </c>
      <c r="E474" s="41"/>
      <c r="F474" s="45" t="s">
        <v>457</v>
      </c>
      <c r="G474" s="5"/>
      <c r="H474" s="5"/>
      <c r="I474" s="5"/>
      <c r="J474" s="5"/>
      <c r="K474" s="5"/>
      <c r="L474" s="5"/>
      <c r="M474" s="5"/>
      <c r="N474" s="5"/>
    </row>
    <row r="475" spans="4:14" ht="16" thickBot="1">
      <c r="D475" s="25" t="s">
        <v>862</v>
      </c>
      <c r="E475" s="99"/>
      <c r="F475" s="45" t="s">
        <v>414</v>
      </c>
      <c r="G475" s="56"/>
      <c r="H475" s="56"/>
      <c r="I475" s="56"/>
      <c r="J475" s="5"/>
      <c r="K475" s="5"/>
      <c r="L475" s="5"/>
      <c r="M475" s="5"/>
      <c r="N475" s="5"/>
    </row>
    <row r="476" spans="4:14" ht="16" thickBot="1">
      <c r="D476" s="8"/>
      <c r="E476" s="5"/>
      <c r="F476" s="11"/>
      <c r="G476" s="9"/>
      <c r="H476" s="8"/>
      <c r="I476" s="8"/>
      <c r="J476" s="9"/>
      <c r="K476" s="9"/>
      <c r="L476" s="9"/>
      <c r="N476" s="8"/>
    </row>
    <row r="477" spans="4:14" ht="16" thickBot="1">
      <c r="D477" s="311" t="s">
        <v>863</v>
      </c>
      <c r="E477" s="312"/>
    </row>
    <row r="478" spans="4:14">
      <c r="D478" s="223" t="s">
        <v>867</v>
      </c>
      <c r="E478" s="195"/>
    </row>
    <row r="479" spans="4:14">
      <c r="D479" s="93" t="s">
        <v>868</v>
      </c>
      <c r="E479" s="41"/>
    </row>
    <row r="480" spans="4:14">
      <c r="D480" s="93" t="s">
        <v>869</v>
      </c>
      <c r="E480" s="41"/>
    </row>
    <row r="481" spans="4:5">
      <c r="D481" s="93" t="s">
        <v>870</v>
      </c>
      <c r="E481" s="41"/>
    </row>
    <row r="482" spans="4:5">
      <c r="D482" s="93" t="s">
        <v>871</v>
      </c>
      <c r="E482" s="41"/>
    </row>
    <row r="483" spans="4:5">
      <c r="D483" s="93" t="s">
        <v>872</v>
      </c>
      <c r="E483" s="41" t="s">
        <v>650</v>
      </c>
    </row>
    <row r="484" spans="4:5">
      <c r="D484" s="93" t="s">
        <v>864</v>
      </c>
      <c r="E484" s="41"/>
    </row>
    <row r="485" spans="4:5">
      <c r="D485" s="93" t="s">
        <v>865</v>
      </c>
      <c r="E485" s="41"/>
    </row>
    <row r="486" spans="4:5">
      <c r="D486" s="93" t="s">
        <v>866</v>
      </c>
      <c r="E486" s="41"/>
    </row>
    <row r="487" spans="4:5">
      <c r="D487" s="93" t="s">
        <v>873</v>
      </c>
      <c r="E487" s="41" t="s">
        <v>650</v>
      </c>
    </row>
    <row r="488" spans="4:5" ht="16" thickBot="1">
      <c r="D488" s="158" t="s">
        <v>874</v>
      </c>
      <c r="E488" s="99" t="s">
        <v>650</v>
      </c>
    </row>
    <row r="489" spans="4:5" ht="16" thickBot="1"/>
    <row r="490" spans="4:5" ht="16" thickBot="1">
      <c r="D490" s="311" t="s">
        <v>875</v>
      </c>
      <c r="E490" s="312"/>
    </row>
    <row r="491" spans="4:5" ht="16" thickBot="1">
      <c r="D491" s="311" t="s">
        <v>876</v>
      </c>
      <c r="E491" s="312"/>
    </row>
    <row r="492" spans="4:5">
      <c r="D492" s="388" t="s">
        <v>877</v>
      </c>
      <c r="E492" s="389"/>
    </row>
    <row r="493" spans="4:5">
      <c r="D493" s="93" t="s">
        <v>880</v>
      </c>
      <c r="E493" s="41"/>
    </row>
    <row r="494" spans="4:5">
      <c r="D494" s="93" t="s">
        <v>881</v>
      </c>
      <c r="E494" s="41"/>
    </row>
    <row r="495" spans="4:5" ht="16" thickBot="1">
      <c r="D495" s="158" t="s">
        <v>882</v>
      </c>
      <c r="E495" s="41"/>
    </row>
    <row r="496" spans="4:5">
      <c r="D496" s="388" t="s">
        <v>878</v>
      </c>
      <c r="E496" s="389"/>
    </row>
    <row r="497" spans="4:11">
      <c r="D497" s="93" t="s">
        <v>883</v>
      </c>
      <c r="E497" s="41"/>
    </row>
    <row r="498" spans="4:11">
      <c r="D498" s="93" t="s">
        <v>884</v>
      </c>
      <c r="E498" s="41"/>
    </row>
    <row r="499" spans="4:11">
      <c r="D499" s="93" t="s">
        <v>885</v>
      </c>
      <c r="E499" s="41"/>
    </row>
    <row r="500" spans="4:11" ht="16" thickBot="1">
      <c r="D500" s="158" t="s">
        <v>886</v>
      </c>
      <c r="E500" s="41"/>
    </row>
    <row r="501" spans="4:11">
      <c r="D501" s="388" t="s">
        <v>879</v>
      </c>
      <c r="E501" s="389"/>
    </row>
    <row r="502" spans="4:11">
      <c r="D502" s="93" t="s">
        <v>887</v>
      </c>
      <c r="E502" s="41"/>
    </row>
    <row r="503" spans="4:11">
      <c r="D503" s="93" t="s">
        <v>888</v>
      </c>
      <c r="E503" s="41"/>
    </row>
    <row r="504" spans="4:11" ht="16" thickBot="1">
      <c r="D504" s="158" t="s">
        <v>889</v>
      </c>
      <c r="E504" s="99"/>
    </row>
    <row r="505" spans="4:11" ht="16" thickBot="1"/>
    <row r="506" spans="4:11" ht="16" thickBot="1">
      <c r="D506" s="390" t="s">
        <v>890</v>
      </c>
      <c r="E506" s="391"/>
    </row>
    <row r="507" spans="4:11">
      <c r="D507" s="223" t="s">
        <v>891</v>
      </c>
      <c r="E507" s="195"/>
    </row>
    <row r="508" spans="4:11">
      <c r="D508" s="93" t="s">
        <v>892</v>
      </c>
      <c r="E508" s="41"/>
    </row>
    <row r="509" spans="4:11" ht="16" thickBot="1">
      <c r="D509" s="158" t="s">
        <v>893</v>
      </c>
      <c r="E509" s="99"/>
    </row>
    <row r="510" spans="4:11" ht="16" thickBot="1"/>
    <row r="511" spans="4:11" ht="16" thickBot="1">
      <c r="D511" s="392" t="s">
        <v>894</v>
      </c>
      <c r="E511" s="393"/>
    </row>
    <row r="512" spans="4:11">
      <c r="D512" s="223" t="s">
        <v>895</v>
      </c>
      <c r="E512" s="225" t="s">
        <v>896</v>
      </c>
      <c r="F512" s="225" t="s">
        <v>897</v>
      </c>
      <c r="G512" s="225" t="s">
        <v>898</v>
      </c>
      <c r="H512" s="225" t="s">
        <v>899</v>
      </c>
      <c r="I512" s="225" t="s">
        <v>900</v>
      </c>
      <c r="J512" s="225" t="s">
        <v>901</v>
      </c>
      <c r="K512" s="224" t="s">
        <v>902</v>
      </c>
    </row>
    <row r="513" spans="4:11" ht="16" thickBot="1">
      <c r="D513" s="107"/>
      <c r="E513" s="106"/>
      <c r="F513" s="106"/>
      <c r="G513" s="106"/>
      <c r="H513" s="106"/>
      <c r="I513" s="106"/>
      <c r="J513" s="106"/>
      <c r="K513" s="99"/>
    </row>
  </sheetData>
  <mergeCells count="166">
    <mergeCell ref="D491:E491"/>
    <mergeCell ref="D492:E492"/>
    <mergeCell ref="D496:E496"/>
    <mergeCell ref="D501:E501"/>
    <mergeCell ref="D506:E506"/>
    <mergeCell ref="D511:E511"/>
    <mergeCell ref="D458:E458"/>
    <mergeCell ref="D459:E459"/>
    <mergeCell ref="E469:F469"/>
    <mergeCell ref="D471:E471"/>
    <mergeCell ref="D477:E477"/>
    <mergeCell ref="D490:E490"/>
    <mergeCell ref="D433:E433"/>
    <mergeCell ref="D436:E436"/>
    <mergeCell ref="D440:M440"/>
    <mergeCell ref="P442:AD442"/>
    <mergeCell ref="P443:AD443"/>
    <mergeCell ref="D449:M449"/>
    <mergeCell ref="D413:L413"/>
    <mergeCell ref="D418:E418"/>
    <mergeCell ref="D419:E419"/>
    <mergeCell ref="D428:E428"/>
    <mergeCell ref="D429:E429"/>
    <mergeCell ref="D430:E430"/>
    <mergeCell ref="D388:M388"/>
    <mergeCell ref="D393:M393"/>
    <mergeCell ref="D396:M396"/>
    <mergeCell ref="D399:E399"/>
    <mergeCell ref="D405:E405"/>
    <mergeCell ref="D406:E406"/>
    <mergeCell ref="O367:AC369"/>
    <mergeCell ref="O370:AC372"/>
    <mergeCell ref="O373:AC375"/>
    <mergeCell ref="D380:M380"/>
    <mergeCell ref="D381:M381"/>
    <mergeCell ref="D383:M383"/>
    <mergeCell ref="P343:AD343"/>
    <mergeCell ref="D348:L348"/>
    <mergeCell ref="D350:L350"/>
    <mergeCell ref="O351:AC351"/>
    <mergeCell ref="D354:L354"/>
    <mergeCell ref="O364:AC366"/>
    <mergeCell ref="P333:AD333"/>
    <mergeCell ref="P334:AD334"/>
    <mergeCell ref="P335:AD335"/>
    <mergeCell ref="P336:AD336"/>
    <mergeCell ref="P337:AD337"/>
    <mergeCell ref="P338:AD338"/>
    <mergeCell ref="P327:AD327"/>
    <mergeCell ref="P328:AD328"/>
    <mergeCell ref="P329:AD329"/>
    <mergeCell ref="P330:AD330"/>
    <mergeCell ref="P331:AD331"/>
    <mergeCell ref="P332:AD332"/>
    <mergeCell ref="P307:AD307"/>
    <mergeCell ref="P308:AD308"/>
    <mergeCell ref="P310:AD310"/>
    <mergeCell ref="D313:M313"/>
    <mergeCell ref="D323:M323"/>
    <mergeCell ref="D326:L326"/>
    <mergeCell ref="P299:AD299"/>
    <mergeCell ref="P300:AD300"/>
    <mergeCell ref="P301:AD301"/>
    <mergeCell ref="P302:AD302"/>
    <mergeCell ref="P303:AD303"/>
    <mergeCell ref="P304:AD304"/>
    <mergeCell ref="D293:M293"/>
    <mergeCell ref="P294:AD294"/>
    <mergeCell ref="P295:AD295"/>
    <mergeCell ref="P296:AD296"/>
    <mergeCell ref="P297:AD297"/>
    <mergeCell ref="P298:AD298"/>
    <mergeCell ref="D263:M263"/>
    <mergeCell ref="P265:AD265"/>
    <mergeCell ref="D273:M273"/>
    <mergeCell ref="D281:M281"/>
    <mergeCell ref="D289:M289"/>
    <mergeCell ref="D290:M290"/>
    <mergeCell ref="P254:AD254"/>
    <mergeCell ref="P255:AD255"/>
    <mergeCell ref="P257:AD257"/>
    <mergeCell ref="P258:AD258"/>
    <mergeCell ref="P259:AD259"/>
    <mergeCell ref="P260:AD260"/>
    <mergeCell ref="P245:AD245"/>
    <mergeCell ref="P247:AD247"/>
    <mergeCell ref="P248:AD248"/>
    <mergeCell ref="P251:AD251"/>
    <mergeCell ref="P252:AD252"/>
    <mergeCell ref="P253:AD253"/>
    <mergeCell ref="P239:AD239"/>
    <mergeCell ref="P240:AD240"/>
    <mergeCell ref="P241:AD241"/>
    <mergeCell ref="P242:AD242"/>
    <mergeCell ref="P243:AD243"/>
    <mergeCell ref="P244:AD244"/>
    <mergeCell ref="D231:M231"/>
    <mergeCell ref="D234:M234"/>
    <mergeCell ref="P235:AD235"/>
    <mergeCell ref="P236:AD236"/>
    <mergeCell ref="P237:AD237"/>
    <mergeCell ref="P238:AD238"/>
    <mergeCell ref="D222:E222"/>
    <mergeCell ref="G222:P222"/>
    <mergeCell ref="D223:E223"/>
    <mergeCell ref="D226:E226"/>
    <mergeCell ref="F226:F228"/>
    <mergeCell ref="D230:M230"/>
    <mergeCell ref="D209:D210"/>
    <mergeCell ref="E209:E210"/>
    <mergeCell ref="F209:I209"/>
    <mergeCell ref="K209:K215"/>
    <mergeCell ref="D217:F217"/>
    <mergeCell ref="G218:G219"/>
    <mergeCell ref="H197:Q197"/>
    <mergeCell ref="D199:E199"/>
    <mergeCell ref="D200:E200"/>
    <mergeCell ref="D206:E206"/>
    <mergeCell ref="G207:P207"/>
    <mergeCell ref="D208:J208"/>
    <mergeCell ref="G186:Q186"/>
    <mergeCell ref="G187:Q187"/>
    <mergeCell ref="G188:Q188"/>
    <mergeCell ref="G189:Q189"/>
    <mergeCell ref="G190:G195"/>
    <mergeCell ref="H191:Q191"/>
    <mergeCell ref="H192:Q192"/>
    <mergeCell ref="H193:Q193"/>
    <mergeCell ref="H194:Q194"/>
    <mergeCell ref="D172:G172"/>
    <mergeCell ref="D176:H176"/>
    <mergeCell ref="J177:N179"/>
    <mergeCell ref="D182:E182"/>
    <mergeCell ref="D183:E183"/>
    <mergeCell ref="D184:E184"/>
    <mergeCell ref="D154:E154"/>
    <mergeCell ref="D155:E155"/>
    <mergeCell ref="D160:F160"/>
    <mergeCell ref="D166:E166"/>
    <mergeCell ref="D168:E168"/>
    <mergeCell ref="D169:E169"/>
    <mergeCell ref="D119:E119"/>
    <mergeCell ref="E120:E122"/>
    <mergeCell ref="D123:E123"/>
    <mergeCell ref="D126:E126"/>
    <mergeCell ref="D147:F147"/>
    <mergeCell ref="H147:M151"/>
    <mergeCell ref="G148:G151"/>
    <mergeCell ref="G106:G109"/>
    <mergeCell ref="D109:E109"/>
    <mergeCell ref="D112:E112"/>
    <mergeCell ref="D113:E113"/>
    <mergeCell ref="D114:F114"/>
    <mergeCell ref="E115:E118"/>
    <mergeCell ref="D71:E71"/>
    <mergeCell ref="D72:E72"/>
    <mergeCell ref="I76:R76"/>
    <mergeCell ref="D98:E98"/>
    <mergeCell ref="H98:K102"/>
    <mergeCell ref="D105:F105"/>
    <mergeCell ref="D2:E2"/>
    <mergeCell ref="D3:E3"/>
    <mergeCell ref="D9:E9"/>
    <mergeCell ref="D30:E30"/>
    <mergeCell ref="D31:E31"/>
    <mergeCell ref="D39:E39"/>
  </mergeCells>
  <dataValidations count="4">
    <dataValidation type="list" allowBlank="1" showInputMessage="1" showErrorMessage="1" sqref="D228:E228" xr:uid="{7EC1237D-CA4E-4A19-9806-90825C221759}">
      <formula1>$A$228:$A$229</formula1>
    </dataValidation>
    <dataValidation type="list" allowBlank="1" showInputMessage="1" showErrorMessage="1" sqref="E162:F164 E191:F195 E197:F197" xr:uid="{01744E95-C439-4619-8794-9D467515F370}">
      <formula1>$A$162:$A$163</formula1>
    </dataValidation>
    <dataValidation type="list" allowBlank="1" showInputMessage="1" showErrorMessage="1" sqref="E186:E189 E207 E224 E483 E373:L373 E376:L376 E358:L358 E361:L361 E364:L364 E367:L367 E370:L370 E487:E488 E351:L355" xr:uid="{D264EAC9-3AE1-4824-AD9A-3B547226EDAB}">
      <formula1>$A$186:$A$188</formula1>
    </dataValidation>
    <dataValidation type="list" allowBlank="1" showInputMessage="1" showErrorMessage="1" sqref="D178:D179" xr:uid="{7FE1DC4C-E031-4731-A724-66E272AC81DF}">
      <formula1>$A$178:$A$179</formula1>
    </dataValidation>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13</vt:i4>
      </vt:variant>
    </vt:vector>
  </HeadingPairs>
  <TitlesOfParts>
    <vt:vector size="13" baseType="lpstr">
      <vt:lpstr>1 MNE Group Information</vt:lpstr>
      <vt:lpstr>2 Safe Harbours CH</vt:lpstr>
      <vt:lpstr>2 Safe Harbours DE</vt:lpstr>
      <vt:lpstr>2 Safe Harbours RU</vt:lpstr>
      <vt:lpstr>2 Safe Harbours DK</vt:lpstr>
      <vt:lpstr>2 Safe Harbours SE</vt:lpstr>
      <vt:lpstr>2 Safe Harbours FI</vt:lpstr>
      <vt:lpstr>3 GloBE Computations CH</vt:lpstr>
      <vt:lpstr>3 GloBE Computations DE</vt:lpstr>
      <vt:lpstr>3 GloBE Computations RU</vt:lpstr>
      <vt:lpstr>3 GloBE Computations DK</vt:lpstr>
      <vt:lpstr>3 GloBE Computations SE</vt:lpstr>
      <vt:lpstr>3 GloBE Computations FI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Toni Meyer</dc:creator>
  <cp:lastModifiedBy>Toni Meyer</cp:lastModifiedBy>
  <dcterms:created xsi:type="dcterms:W3CDTF">2026-06-08T09:36:36Z</dcterms:created>
  <dcterms:modified xsi:type="dcterms:W3CDTF">2026-06-29T13:15:33Z</dcterms:modified>
</cp:coreProperties>
</file>